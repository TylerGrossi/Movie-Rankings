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306028" documentId="14_{97AD7830-A804-4358-95B8-ABFB830B8E7F}" xr6:coauthVersionLast="47" xr6:coauthVersionMax="47" xr10:uidLastSave="{FC0B104B-7A0F-4C33-A9FF-8C5617BE6C68}"/>
  <bookViews>
    <workbookView xWindow="-120" yWindow="-120" windowWidth="29040" windowHeight="16440" tabRatio="836"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Rankings'!$B$1:$X$189</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65" i="1" l="1"/>
  <c r="R65" i="1"/>
  <c r="Q65" i="1"/>
  <c r="P65" i="1"/>
  <c r="P56" i="1"/>
  <c r="Q56" i="1"/>
  <c r="R56" i="1"/>
  <c r="S56" i="1"/>
  <c r="Q85" i="1"/>
  <c r="P81" i="1"/>
  <c r="Q100" i="1"/>
  <c r="R100" i="1"/>
  <c r="S100" i="1"/>
  <c r="P182" i="1"/>
  <c r="P189" i="1"/>
  <c r="P64" i="1"/>
  <c r="Q78" i="1"/>
  <c r="R78" i="1"/>
  <c r="S78" i="1"/>
  <c r="P13" i="1"/>
  <c r="P14" i="1"/>
  <c r="P15" i="1"/>
  <c r="P16" i="1"/>
  <c r="P17" i="1"/>
  <c r="P18" i="1"/>
  <c r="P21" i="1"/>
  <c r="Q23" i="1"/>
  <c r="P23" i="1"/>
  <c r="P24" i="1"/>
  <c r="P26" i="1"/>
  <c r="P35" i="1"/>
  <c r="P45" i="1"/>
  <c r="P39" i="1"/>
  <c r="P38" i="1"/>
  <c r="P43" i="1"/>
  <c r="P41" i="1"/>
  <c r="Q13" i="1"/>
  <c r="P32" i="1"/>
  <c r="P31" i="1"/>
  <c r="P46" i="1"/>
  <c r="Q25" i="1"/>
  <c r="Q21" i="1"/>
  <c r="Q29" i="1"/>
  <c r="P60" i="1"/>
  <c r="Q189" i="1"/>
  <c r="P62" i="1"/>
  <c r="P63" i="1"/>
  <c r="P66" i="1"/>
  <c r="P67" i="1"/>
  <c r="P68" i="1"/>
  <c r="P69" i="1"/>
  <c r="P74" i="1"/>
  <c r="Q96" i="1"/>
  <c r="P77" i="1"/>
  <c r="P86" i="1"/>
  <c r="Q60" i="1"/>
  <c r="P88" i="1"/>
  <c r="P89" i="1"/>
  <c r="P90" i="1"/>
  <c r="Q76" i="1"/>
  <c r="Q40" i="1"/>
  <c r="Q162" i="1"/>
  <c r="P95" i="1"/>
  <c r="P96" i="1"/>
  <c r="P97" i="1"/>
  <c r="Q89" i="1"/>
  <c r="P99" i="1"/>
  <c r="P100" i="1"/>
  <c r="Q126" i="1"/>
  <c r="P112" i="1"/>
  <c r="P113" i="1"/>
  <c r="P114" i="1"/>
  <c r="P115" i="1"/>
  <c r="P116" i="1"/>
  <c r="P117" i="1"/>
  <c r="P118" i="1"/>
  <c r="P122" i="1"/>
  <c r="P123" i="1"/>
  <c r="P124" i="1"/>
  <c r="P125" i="1"/>
  <c r="Q54" i="1"/>
  <c r="P135" i="1"/>
  <c r="P136" i="1"/>
  <c r="P137" i="1"/>
  <c r="P138" i="1"/>
  <c r="Q113" i="1"/>
  <c r="Q105" i="1"/>
  <c r="P143" i="1"/>
  <c r="P144" i="1"/>
  <c r="P145" i="1"/>
  <c r="Q61" i="1"/>
  <c r="P147" i="1"/>
  <c r="Q6" i="1"/>
  <c r="Q71" i="1"/>
  <c r="P158" i="1"/>
  <c r="P159" i="1"/>
  <c r="Q73" i="1"/>
  <c r="Q106" i="1"/>
  <c r="Q133" i="1"/>
  <c r="P173" i="1"/>
  <c r="P174" i="1"/>
  <c r="P181" i="1"/>
  <c r="Q39" i="1"/>
  <c r="P183" i="1"/>
  <c r="P184" i="1"/>
  <c r="P186" i="1"/>
  <c r="Q130" i="1"/>
  <c r="Q173" i="1"/>
  <c r="Q121" i="1"/>
  <c r="P8" i="1"/>
  <c r="Q142" i="1"/>
  <c r="P19" i="1"/>
  <c r="P20" i="1"/>
  <c r="P25" i="1"/>
  <c r="Q26" i="1"/>
  <c r="P33" i="1"/>
  <c r="Q141" i="1"/>
  <c r="Q124" i="1"/>
  <c r="Q27" i="1"/>
  <c r="P55" i="1"/>
  <c r="P53" i="1"/>
  <c r="Q120" i="1"/>
  <c r="P71" i="1"/>
  <c r="P70" i="1"/>
  <c r="P72" i="1"/>
  <c r="Q111" i="1"/>
  <c r="P76" i="1"/>
  <c r="Q72" i="1"/>
  <c r="P83" i="1"/>
  <c r="P84" i="1"/>
  <c r="P101" i="1"/>
  <c r="P102" i="1"/>
  <c r="Q136" i="1"/>
  <c r="P107" i="1"/>
  <c r="P108" i="1"/>
  <c r="Q95" i="1"/>
  <c r="Q165" i="1"/>
  <c r="P120" i="1"/>
  <c r="P121" i="1"/>
  <c r="P126" i="1"/>
  <c r="Q167" i="1"/>
  <c r="P131" i="1"/>
  <c r="P132" i="1"/>
  <c r="P149" i="1"/>
  <c r="P150" i="1"/>
  <c r="Q178" i="1"/>
  <c r="P155" i="1"/>
  <c r="P156" i="1"/>
  <c r="Q48" i="1"/>
  <c r="Q181" i="1"/>
  <c r="P168" i="1"/>
  <c r="P169" i="1"/>
  <c r="Q35" i="1"/>
  <c r="P179" i="1"/>
  <c r="P180" i="1"/>
  <c r="P3" i="1"/>
  <c r="Q109" i="1"/>
  <c r="P4" i="1"/>
  <c r="Q67" i="1"/>
  <c r="P5" i="1"/>
  <c r="Q128" i="1"/>
  <c r="P6" i="1"/>
  <c r="P9" i="1"/>
  <c r="Q188" i="1"/>
  <c r="P10" i="1"/>
  <c r="Q169" i="1"/>
  <c r="P11" i="1"/>
  <c r="Q37" i="1"/>
  <c r="P12" i="1"/>
  <c r="Q74" i="1"/>
  <c r="P27" i="1"/>
  <c r="Q146" i="1"/>
  <c r="P28" i="1"/>
  <c r="Q135" i="1"/>
  <c r="P29" i="1"/>
  <c r="Q28" i="1"/>
  <c r="P30" i="1"/>
  <c r="P34" i="1"/>
  <c r="Q55" i="1"/>
  <c r="P40" i="1"/>
  <c r="Q125" i="1"/>
  <c r="P36" i="1"/>
  <c r="Q64" i="1"/>
  <c r="P37" i="1"/>
  <c r="Q93" i="1"/>
  <c r="P51" i="1"/>
  <c r="Q2" i="1"/>
  <c r="P52" i="1"/>
  <c r="Q94" i="1"/>
  <c r="P54" i="1"/>
  <c r="Q34" i="1"/>
  <c r="P57" i="1"/>
  <c r="P58" i="1"/>
  <c r="Q57" i="1"/>
  <c r="P59" i="1"/>
  <c r="Q129" i="1"/>
  <c r="Q32" i="1"/>
  <c r="P61" i="1"/>
  <c r="P78" i="1"/>
  <c r="Q99" i="1"/>
  <c r="P79" i="1"/>
  <c r="Q163" i="1"/>
  <c r="P80" i="1"/>
  <c r="Q144" i="1"/>
  <c r="P82" i="1"/>
  <c r="P85" i="1"/>
  <c r="Q8" i="1"/>
  <c r="Q114" i="1"/>
  <c r="P87" i="1"/>
  <c r="P92" i="1"/>
  <c r="Q41" i="1"/>
  <c r="P103" i="1"/>
  <c r="Q75" i="1"/>
  <c r="P104" i="1"/>
  <c r="Q117" i="1"/>
  <c r="P105" i="1"/>
  <c r="Q42" i="1"/>
  <c r="P106" i="1"/>
  <c r="P109" i="1"/>
  <c r="Q82" i="1"/>
  <c r="P110" i="1"/>
  <c r="Q137" i="1"/>
  <c r="P111" i="1"/>
  <c r="Q112" i="1"/>
  <c r="Q149" i="1"/>
  <c r="P127" i="1"/>
  <c r="Q24" i="1"/>
  <c r="P128" i="1"/>
  <c r="Q46" i="1"/>
  <c r="P129" i="1"/>
  <c r="Q18" i="1"/>
  <c r="P130" i="1"/>
  <c r="P133" i="1"/>
  <c r="Q3" i="1"/>
  <c r="P134" i="1"/>
  <c r="Q150" i="1"/>
  <c r="P140" i="1"/>
  <c r="Q68" i="1"/>
  <c r="P141" i="1"/>
  <c r="Q19" i="1"/>
  <c r="P142" i="1"/>
  <c r="P151" i="1"/>
  <c r="Q182" i="1"/>
  <c r="P152" i="1"/>
  <c r="Q50" i="1"/>
  <c r="P153" i="1"/>
  <c r="Q12" i="1"/>
  <c r="P154" i="1"/>
  <c r="P157" i="1"/>
  <c r="P160" i="1"/>
  <c r="Q49" i="1"/>
  <c r="P161" i="1"/>
  <c r="Q170" i="1"/>
  <c r="P162" i="1"/>
  <c r="Q98" i="1"/>
  <c r="P163" i="1"/>
  <c r="Q30" i="1"/>
  <c r="P164" i="1"/>
  <c r="Q97" i="1"/>
  <c r="P165" i="1"/>
  <c r="Q119" i="1"/>
  <c r="P166" i="1"/>
  <c r="P175" i="1"/>
  <c r="Q103" i="1"/>
  <c r="P176" i="1"/>
  <c r="Q148" i="1"/>
  <c r="P177" i="1"/>
  <c r="Q86" i="1"/>
  <c r="P178" i="1"/>
  <c r="Q80" i="1"/>
  <c r="Q134" i="1"/>
  <c r="P185" i="1"/>
  <c r="Q90" i="1"/>
  <c r="Q4" i="1"/>
  <c r="P187" i="1"/>
  <c r="Q77" i="1"/>
  <c r="P188" i="1"/>
  <c r="Q139" i="1"/>
  <c r="Q145" i="1"/>
  <c r="R40" i="1"/>
  <c r="S40" i="1"/>
  <c r="R156" i="1"/>
  <c r="S156" i="1"/>
  <c r="R109" i="1"/>
  <c r="S109" i="1"/>
  <c r="R67" i="1"/>
  <c r="S67" i="1"/>
  <c r="R128" i="1"/>
  <c r="S128" i="1"/>
  <c r="R173" i="1"/>
  <c r="S173" i="1"/>
  <c r="R121" i="1"/>
  <c r="S121" i="1"/>
  <c r="R52" i="1"/>
  <c r="S52" i="1"/>
  <c r="R188" i="1"/>
  <c r="S188" i="1"/>
  <c r="R169" i="1"/>
  <c r="S169" i="1"/>
  <c r="R37" i="1"/>
  <c r="S37" i="1"/>
  <c r="R74" i="1"/>
  <c r="S74" i="1"/>
  <c r="R183" i="1"/>
  <c r="S183" i="1"/>
  <c r="R11" i="1"/>
  <c r="S11" i="1"/>
  <c r="R62" i="1"/>
  <c r="S62" i="1"/>
  <c r="R143" i="1"/>
  <c r="S143" i="1"/>
  <c r="R58" i="1"/>
  <c r="S58" i="1"/>
  <c r="R142" i="1"/>
  <c r="S142" i="1"/>
  <c r="R175" i="1"/>
  <c r="S175" i="1"/>
  <c r="R177" i="1"/>
  <c r="S177" i="1"/>
  <c r="R108" i="1"/>
  <c r="S108" i="1"/>
  <c r="R23" i="1"/>
  <c r="S23" i="1"/>
  <c r="R172" i="1"/>
  <c r="S172" i="1"/>
  <c r="R153" i="1"/>
  <c r="S153" i="1"/>
  <c r="R154" i="1"/>
  <c r="S154" i="1"/>
  <c r="R146" i="1"/>
  <c r="S146" i="1"/>
  <c r="R135" i="1"/>
  <c r="S135" i="1"/>
  <c r="R28" i="1"/>
  <c r="S28" i="1"/>
  <c r="R26" i="1"/>
  <c r="S26" i="1"/>
  <c r="R184" i="1"/>
  <c r="S184" i="1"/>
  <c r="R151" i="1"/>
  <c r="S151" i="1"/>
  <c r="R55" i="1"/>
  <c r="S55" i="1"/>
  <c r="R125" i="1"/>
  <c r="S125" i="1"/>
  <c r="R64" i="1"/>
  <c r="S64" i="1"/>
  <c r="R93" i="1"/>
  <c r="S93" i="1"/>
  <c r="R47" i="1"/>
  <c r="S47" i="1"/>
  <c r="R84" i="1"/>
  <c r="S84" i="1"/>
  <c r="R180" i="1"/>
  <c r="S180" i="1"/>
  <c r="R158" i="1"/>
  <c r="S158" i="1"/>
  <c r="R131" i="1"/>
  <c r="S131" i="1"/>
  <c r="R13" i="1"/>
  <c r="S13" i="1"/>
  <c r="R92" i="1"/>
  <c r="S92" i="1"/>
  <c r="R59" i="1"/>
  <c r="S59" i="1"/>
  <c r="R51" i="1"/>
  <c r="S51" i="1"/>
  <c r="R25" i="1"/>
  <c r="S25" i="1"/>
  <c r="R21" i="1"/>
  <c r="S21" i="1"/>
  <c r="R29" i="1"/>
  <c r="S29" i="1"/>
  <c r="R141" i="1"/>
  <c r="S141" i="1"/>
  <c r="R124" i="1"/>
  <c r="S124" i="1"/>
  <c r="R2" i="1"/>
  <c r="S2" i="1"/>
  <c r="R94" i="1"/>
  <c r="S94" i="1"/>
  <c r="R27" i="1"/>
  <c r="S27" i="1"/>
  <c r="R132" i="1"/>
  <c r="S132" i="1"/>
  <c r="R45" i="1"/>
  <c r="S45" i="1"/>
  <c r="R57" i="1"/>
  <c r="S57" i="1"/>
  <c r="R129" i="1"/>
  <c r="S129" i="1"/>
  <c r="R32" i="1"/>
  <c r="S32" i="1"/>
  <c r="R34" i="1"/>
  <c r="S34" i="1"/>
  <c r="R85" i="1"/>
  <c r="S85" i="1"/>
  <c r="R185" i="1"/>
  <c r="S185" i="1"/>
  <c r="R20" i="1"/>
  <c r="S20" i="1"/>
  <c r="R171" i="1"/>
  <c r="S171" i="1"/>
  <c r="R120" i="1"/>
  <c r="S120" i="1"/>
  <c r="R127" i="1"/>
  <c r="S127" i="1"/>
  <c r="R179" i="1"/>
  <c r="S179" i="1"/>
  <c r="R189" i="1"/>
  <c r="S189" i="1"/>
  <c r="R157" i="1"/>
  <c r="S157" i="1"/>
  <c r="R101" i="1"/>
  <c r="S101" i="1"/>
  <c r="R111" i="1"/>
  <c r="S111" i="1"/>
  <c r="R14" i="1"/>
  <c r="S14" i="1"/>
  <c r="R96" i="1"/>
  <c r="S96" i="1"/>
  <c r="R70" i="1"/>
  <c r="S70" i="1"/>
  <c r="R43" i="1"/>
  <c r="S43" i="1"/>
  <c r="R99" i="1"/>
  <c r="S99" i="1"/>
  <c r="R163" i="1"/>
  <c r="S163" i="1"/>
  <c r="R144" i="1"/>
  <c r="S144" i="1"/>
  <c r="R72" i="1"/>
  <c r="S72" i="1"/>
  <c r="R17" i="1"/>
  <c r="S17" i="1"/>
  <c r="R118" i="1"/>
  <c r="S118" i="1"/>
  <c r="R8" i="1"/>
  <c r="S8" i="1"/>
  <c r="R114" i="1"/>
  <c r="S114" i="1"/>
  <c r="R60" i="1"/>
  <c r="S60" i="1"/>
  <c r="R33" i="1"/>
  <c r="S33" i="1"/>
  <c r="R81" i="1"/>
  <c r="S81" i="1"/>
  <c r="R162" i="1"/>
  <c r="S162" i="1"/>
  <c r="R76" i="1"/>
  <c r="S76" i="1"/>
  <c r="R41" i="1"/>
  <c r="S41" i="1"/>
  <c r="R7" i="1"/>
  <c r="S7" i="1"/>
  <c r="R110" i="1"/>
  <c r="S110" i="1"/>
  <c r="R63" i="1"/>
  <c r="S63" i="1"/>
  <c r="R155" i="1"/>
  <c r="S155" i="1"/>
  <c r="R89" i="1"/>
  <c r="S89" i="1"/>
  <c r="R66" i="1"/>
  <c r="S66" i="1"/>
  <c r="R160" i="1"/>
  <c r="S160" i="1"/>
  <c r="R168" i="1"/>
  <c r="S168" i="1"/>
  <c r="R42" i="1"/>
  <c r="S42" i="1"/>
  <c r="R136" i="1"/>
  <c r="S136" i="1"/>
  <c r="R38" i="1"/>
  <c r="S38" i="1"/>
  <c r="R22" i="1"/>
  <c r="S22" i="1"/>
  <c r="R75" i="1"/>
  <c r="S75" i="1"/>
  <c r="R115" i="1"/>
  <c r="S115" i="1"/>
  <c r="R117" i="1"/>
  <c r="S117" i="1"/>
  <c r="R82" i="1"/>
  <c r="S82" i="1"/>
  <c r="R137" i="1"/>
  <c r="S137" i="1"/>
  <c r="R126" i="1"/>
  <c r="S126" i="1"/>
  <c r="R87" i="1"/>
  <c r="S87" i="1"/>
  <c r="R107" i="1"/>
  <c r="S107" i="1"/>
  <c r="R147" i="1"/>
  <c r="S147" i="1"/>
  <c r="R9" i="1"/>
  <c r="S9" i="1"/>
  <c r="R112" i="1"/>
  <c r="S112" i="1"/>
  <c r="R149" i="1"/>
  <c r="S149" i="1"/>
  <c r="R95" i="1"/>
  <c r="S95" i="1"/>
  <c r="R165" i="1"/>
  <c r="S165" i="1"/>
  <c r="R138" i="1"/>
  <c r="S138" i="1"/>
  <c r="R69" i="1"/>
  <c r="S69" i="1"/>
  <c r="R174" i="1"/>
  <c r="S174" i="1"/>
  <c r="R166" i="1"/>
  <c r="S166" i="1"/>
  <c r="R10" i="1"/>
  <c r="S10" i="1"/>
  <c r="R176" i="1"/>
  <c r="S176" i="1"/>
  <c r="R122" i="1"/>
  <c r="S122" i="1"/>
  <c r="R24" i="1"/>
  <c r="S24" i="1"/>
  <c r="R46" i="1"/>
  <c r="S46" i="1"/>
  <c r="R18" i="1"/>
  <c r="S18" i="1"/>
  <c r="R167" i="1"/>
  <c r="S167" i="1"/>
  <c r="R79" i="1"/>
  <c r="S79" i="1"/>
  <c r="R83" i="1"/>
  <c r="S83" i="1"/>
  <c r="R3" i="1"/>
  <c r="S3" i="1"/>
  <c r="R54" i="1"/>
  <c r="S54" i="1"/>
  <c r="R31" i="1"/>
  <c r="S31" i="1"/>
  <c r="R15" i="1"/>
  <c r="S15" i="1"/>
  <c r="R186" i="1"/>
  <c r="S186" i="1"/>
  <c r="R150" i="1"/>
  <c r="S150" i="1"/>
  <c r="R113" i="1"/>
  <c r="S113" i="1"/>
  <c r="R68" i="1"/>
  <c r="S68" i="1"/>
  <c r="R19" i="1"/>
  <c r="S19" i="1"/>
  <c r="R105" i="1"/>
  <c r="S105" i="1"/>
  <c r="R36" i="1"/>
  <c r="S36" i="1"/>
  <c r="R152" i="1"/>
  <c r="S152" i="1"/>
  <c r="R187" i="1"/>
  <c r="S187" i="1"/>
  <c r="R61" i="1"/>
  <c r="S61" i="1"/>
  <c r="R161" i="1"/>
  <c r="S161" i="1"/>
  <c r="R6" i="1"/>
  <c r="S6" i="1"/>
  <c r="R53" i="1"/>
  <c r="S53" i="1"/>
  <c r="R159" i="1"/>
  <c r="S159" i="1"/>
  <c r="R182" i="1"/>
  <c r="S182" i="1"/>
  <c r="R50" i="1"/>
  <c r="S50" i="1"/>
  <c r="R12" i="1"/>
  <c r="S12" i="1"/>
  <c r="R178" i="1"/>
  <c r="S178" i="1"/>
  <c r="R5" i="1"/>
  <c r="S5" i="1"/>
  <c r="R102" i="1"/>
  <c r="S102" i="1"/>
  <c r="R71" i="1"/>
  <c r="S71" i="1"/>
  <c r="R123" i="1"/>
  <c r="S123" i="1"/>
  <c r="R140" i="1"/>
  <c r="S140" i="1"/>
  <c r="R49" i="1"/>
  <c r="S49" i="1"/>
  <c r="R170" i="1"/>
  <c r="S170" i="1"/>
  <c r="R98" i="1"/>
  <c r="S98" i="1"/>
  <c r="R30" i="1"/>
  <c r="S30" i="1"/>
  <c r="R97" i="1"/>
  <c r="S97" i="1"/>
  <c r="R119" i="1"/>
  <c r="S119" i="1"/>
  <c r="R48" i="1"/>
  <c r="S48" i="1"/>
  <c r="R181" i="1"/>
  <c r="S181" i="1"/>
  <c r="R164" i="1"/>
  <c r="S164" i="1"/>
  <c r="R104" i="1"/>
  <c r="S104" i="1"/>
  <c r="R73" i="1"/>
  <c r="S73" i="1"/>
  <c r="R106" i="1"/>
  <c r="S106" i="1"/>
  <c r="R133" i="1"/>
  <c r="S133" i="1"/>
  <c r="R91" i="1"/>
  <c r="S91" i="1"/>
  <c r="R44" i="1"/>
  <c r="S44" i="1"/>
  <c r="R103" i="1"/>
  <c r="S103" i="1"/>
  <c r="R148" i="1"/>
  <c r="S148" i="1"/>
  <c r="R86" i="1"/>
  <c r="S86" i="1"/>
  <c r="R35" i="1"/>
  <c r="S35" i="1"/>
  <c r="R16" i="1"/>
  <c r="S16" i="1"/>
  <c r="R116" i="1"/>
  <c r="S116" i="1"/>
  <c r="R88" i="1"/>
  <c r="S88" i="1"/>
  <c r="R39" i="1"/>
  <c r="S39" i="1"/>
  <c r="R80" i="1"/>
  <c r="S80" i="1"/>
  <c r="R134" i="1"/>
  <c r="S134" i="1"/>
  <c r="R90" i="1"/>
  <c r="S90" i="1"/>
  <c r="R4" i="1"/>
  <c r="S4" i="1"/>
  <c r="R77" i="1"/>
  <c r="S77" i="1"/>
  <c r="R139" i="1"/>
  <c r="S139" i="1"/>
  <c r="R145" i="1"/>
  <c r="S145" i="1"/>
  <c r="S130" i="1"/>
  <c r="R130" i="1"/>
  <c r="Q186" i="1" l="1"/>
  <c r="Q107" i="1"/>
  <c r="P94" i="1"/>
  <c r="Q171" i="1"/>
  <c r="P139" i="1"/>
  <c r="P44" i="1"/>
  <c r="Q9" i="1"/>
  <c r="Q157" i="1"/>
  <c r="Q131" i="1"/>
  <c r="P91" i="1"/>
  <c r="Q147" i="1"/>
  <c r="Q20" i="1"/>
  <c r="Q58" i="1"/>
  <c r="Q15" i="1"/>
  <c r="Q143" i="1"/>
  <c r="Q185" i="1"/>
  <c r="Q7" i="1"/>
  <c r="Q158" i="1"/>
  <c r="Q140" i="1"/>
  <c r="Q81" i="1"/>
  <c r="Q180" i="1"/>
  <c r="Q88" i="1"/>
  <c r="Q123" i="1"/>
  <c r="Q31" i="1"/>
  <c r="Q87" i="1"/>
  <c r="Q33" i="1"/>
  <c r="Q84" i="1"/>
  <c r="Q62" i="1"/>
  <c r="Q47" i="1"/>
  <c r="Q11" i="1"/>
  <c r="Q183" i="1"/>
  <c r="Q53" i="1"/>
  <c r="Q10" i="1"/>
  <c r="Q66" i="1"/>
  <c r="P47" i="1"/>
  <c r="Q159" i="1"/>
  <c r="P148" i="1"/>
  <c r="P75" i="1"/>
  <c r="Q166" i="1"/>
  <c r="P48" i="1"/>
  <c r="Q174" i="1"/>
  <c r="P170" i="1"/>
  <c r="P146" i="1"/>
  <c r="Q104" i="1"/>
  <c r="Q187" i="1"/>
  <c r="Q69" i="1"/>
  <c r="Q155" i="1"/>
  <c r="Q101" i="1"/>
  <c r="Q51" i="1"/>
  <c r="Q108" i="1"/>
  <c r="Q160" i="1"/>
  <c r="P172" i="1"/>
  <c r="P49" i="1"/>
  <c r="Q161" i="1"/>
  <c r="Q14" i="1"/>
  <c r="Q156" i="1"/>
  <c r="P171" i="1"/>
  <c r="P73" i="1"/>
  <c r="P22" i="1"/>
  <c r="Q151" i="1"/>
  <c r="P50" i="1"/>
  <c r="Q176" i="1"/>
  <c r="P93" i="1"/>
  <c r="P42" i="1"/>
  <c r="P98" i="1"/>
  <c r="Q164" i="1"/>
  <c r="Q83" i="1"/>
  <c r="Q118" i="1"/>
  <c r="Q177" i="1"/>
  <c r="Q16" i="1"/>
  <c r="Q36" i="1"/>
  <c r="Q79" i="1"/>
  <c r="Q22" i="1"/>
  <c r="Q110" i="1"/>
  <c r="Q17" i="1"/>
  <c r="Q127" i="1"/>
  <c r="Q132" i="1"/>
  <c r="Q92" i="1"/>
  <c r="Q184" i="1"/>
  <c r="Q175" i="1"/>
  <c r="Q44" i="1"/>
  <c r="Q122" i="1"/>
  <c r="Q38" i="1"/>
  <c r="Q43" i="1"/>
  <c r="Q154" i="1"/>
  <c r="Q168" i="1"/>
  <c r="Q70" i="1"/>
  <c r="Q172" i="1"/>
  <c r="Q153" i="1"/>
  <c r="Q116" i="1"/>
  <c r="Q102" i="1"/>
  <c r="Q152" i="1"/>
  <c r="Q138" i="1"/>
  <c r="Q115" i="1"/>
  <c r="Q63" i="1"/>
  <c r="Q179" i="1"/>
  <c r="Q45" i="1"/>
  <c r="Q59" i="1"/>
  <c r="Q52" i="1"/>
  <c r="Q5" i="1"/>
  <c r="P167" i="1"/>
  <c r="P119" i="1"/>
  <c r="P7" i="1"/>
  <c r="Q91"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<sst xmlns="http://schemas.openxmlformats.org/spreadsheetml/2006/main" count="3065" uniqueCount="997">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</sst>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89"/>
  <sheetViews>
    <sheetView tabSelected="1" zoomScaleNormal="100" workbookViewId="0">
      <pane xSplit="3" ySplit="1" topLeftCell="H37" activePane="bottomRight" state="frozen"/>
      <selection pane="topRight" activeCell="D1" sqref="D1"/>
      <selection pane="bottomLeft" activeCell="A2" sqref="A2"/>
      <selection pane="bottomRight" activeCell="T56" sqref="T56"/>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bestFit="1" customWidth="1"/>
    <col min="5" max="5" width="20.85546875" style="10" bestFit="1" customWidth="1"/>
    <col min="6" max="6" width="19.85546875" style="10" bestFit="1" customWidth="1"/>
    <col min="7" max="7" width="20.85546875" style="10" bestFit="1" customWidth="1"/>
    <col min="8" max="8" width="21.140625" style="10" bestFit="1" customWidth="1"/>
    <col min="9" max="9" width="21.5703125" style="10" bestFit="1" customWidth="1"/>
    <col min="10" max="10" width="9.140625" bestFit="1" customWidth="1"/>
    <col min="11" max="12" width="10.42578125" bestFit="1" customWidth="1"/>
    <col min="13" max="13" width="7.7109375" style="4" bestFit="1" customWidth="1"/>
    <col min="14" max="14" width="5.140625" style="4" bestFit="1" customWidth="1"/>
    <col min="15" max="15" width="12.140625" style="4" bestFit="1" customWidth="1"/>
    <col min="16" max="16" width="8.140625" bestFit="1" customWidth="1"/>
    <col min="17" max="17" width="5.28515625" bestFit="1" customWidth="1"/>
    <col min="18" max="18" width="10.85546875" bestFit="1" customWidth="1"/>
    <col min="19" max="19" width="8.140625" bestFit="1" customWidth="1"/>
    <col min="20" max="20" width="14.85546875" bestFit="1" customWidth="1"/>
    <col min="21" max="21" width="10.85546875" bestFit="1" customWidth="1"/>
    <col min="22" max="22" width="10.140625" bestFit="1" customWidth="1"/>
    <col min="23" max="23" width="16.140625" bestFit="1" customWidth="1"/>
    <col min="24" max="24" width="16" bestFit="1" customWidth="1"/>
    <col min="25" max="25" width="46.42578125" bestFit="1" customWidth="1"/>
    <col min="26" max="26" width="16.42578125" bestFit="1" customWidth="1"/>
    <col min="27" max="38" width="3.85546875" bestFit="1" customWidth="1"/>
    <col min="39" max="39" width="1.85546875" bestFit="1" customWidth="1"/>
    <col min="40" max="48" width="3.85546875" bestFit="1" customWidth="1"/>
    <col min="49" max="49" width="1.85546875" bestFit="1" customWidth="1"/>
    <col min="50" max="58" width="3.85546875" bestFit="1" customWidth="1"/>
    <col min="59" max="59" width="1.85546875" bestFit="1" customWidth="1"/>
    <col min="60" max="66" width="3.85546875" bestFit="1" customWidth="1"/>
    <col min="67" max="67" width="10.7109375" bestFit="1" customWidth="1"/>
    <col min="68" max="68" width="15.28515625" bestFit="1" customWidth="1"/>
    <col min="69" max="69" width="11.85546875" bestFit="1" customWidth="1"/>
    <col min="70" max="70" width="13.42578125" bestFit="1" customWidth="1"/>
    <col min="71" max="71" width="11.5703125" bestFit="1" customWidth="1"/>
    <col min="72" max="72" width="13.42578125" bestFit="1" customWidth="1"/>
    <col min="73" max="73" width="12.42578125" bestFit="1" customWidth="1"/>
    <col min="74" max="74" width="15.7109375" bestFit="1" customWidth="1"/>
    <col min="75" max="75" width="17.5703125" bestFit="1" customWidth="1"/>
    <col min="76" max="76" width="11.42578125" bestFit="1" customWidth="1"/>
    <col min="77" max="77" width="10.5703125" bestFit="1" customWidth="1"/>
    <col min="78" max="78" width="12.85546875" bestFit="1" customWidth="1"/>
    <col min="79" max="79" width="11.140625" bestFit="1" customWidth="1"/>
    <col min="80" max="80" width="8.42578125" bestFit="1" customWidth="1"/>
    <col min="81" max="81" width="17.42578125" bestFit="1" customWidth="1"/>
    <col min="82" max="82" width="10.140625" bestFit="1" customWidth="1"/>
    <col min="83" max="83" width="9.42578125" bestFit="1" customWidth="1"/>
    <col min="84" max="84" width="10.140625" bestFit="1" customWidth="1"/>
    <col min="85" max="85" width="12.140625" bestFit="1" customWidth="1"/>
    <col min="86" max="86" width="9.7109375" bestFit="1" customWidth="1"/>
    <col min="87" max="87" width="10.7109375" bestFit="1" customWidth="1"/>
    <col min="88" max="88" width="13.28515625" bestFit="1" customWidth="1"/>
    <col min="89" max="89" width="15.85546875" bestFit="1" customWidth="1"/>
    <col min="90" max="90" width="16.42578125" bestFit="1" customWidth="1"/>
    <col min="91" max="91" width="19.42578125" bestFit="1" customWidth="1"/>
    <col min="92" max="92" width="12.140625" bestFit="1" customWidth="1"/>
    <col min="93" max="93" width="13" bestFit="1" customWidth="1"/>
    <col min="94" max="94" width="15.7109375" bestFit="1" customWidth="1"/>
    <col min="95" max="95" width="17" bestFit="1" customWidth="1"/>
    <col min="96" max="96" width="14.140625" bestFit="1" customWidth="1"/>
    <col min="97" max="97" width="9.42578125" bestFit="1" customWidth="1"/>
    <col min="98" max="98" width="17.28515625" bestFit="1" customWidth="1"/>
    <col min="99" max="99" width="17.140625" bestFit="1" customWidth="1"/>
    <col min="100" max="100" width="12.28515625" bestFit="1" customWidth="1"/>
    <col min="101" max="101" width="17.28515625" bestFit="1" customWidth="1"/>
    <col min="102" max="102" width="14.85546875" bestFit="1" customWidth="1"/>
    <col min="103" max="103" width="8.85546875" bestFit="1" customWidth="1"/>
    <col min="104" max="104" width="15.42578125" bestFit="1" customWidth="1"/>
    <col min="105" max="105" width="18.28515625" bestFit="1" customWidth="1"/>
    <col min="106" max="106" width="11.5703125" bestFit="1" customWidth="1"/>
    <col min="107" max="107" width="13.42578125" bestFit="1" customWidth="1"/>
    <col min="108" max="108" width="11.5703125" bestFit="1" customWidth="1"/>
    <col min="109" max="109" width="13.42578125" bestFit="1" customWidth="1"/>
    <col min="110" max="110" width="10.140625" bestFit="1" customWidth="1"/>
    <col min="111" max="111" width="21.42578125" bestFit="1" customWidth="1"/>
    <col min="112" max="112" width="12.7109375" bestFit="1" customWidth="1"/>
    <col min="113" max="114" width="15.7109375" bestFit="1" customWidth="1"/>
    <col min="115" max="115" width="9.42578125" bestFit="1" customWidth="1"/>
    <col min="116" max="116" width="18.7109375" bestFit="1" customWidth="1"/>
    <col min="117" max="117" width="15.42578125" bestFit="1" customWidth="1"/>
    <col min="118" max="118" width="10.5703125" bestFit="1" customWidth="1"/>
    <col min="119" max="119" width="18.42578125" bestFit="1" customWidth="1"/>
    <col min="120" max="120" width="13.42578125" bestFit="1" customWidth="1"/>
    <col min="121" max="121" width="12.28515625" bestFit="1" customWidth="1"/>
    <col min="122" max="122" width="12.7109375" bestFit="1" customWidth="1"/>
    <col min="123" max="123" width="13.7109375" bestFit="1" customWidth="1"/>
    <col min="124" max="124" width="13.85546875" bestFit="1" customWidth="1"/>
    <col min="125" max="125" width="10.85546875" bestFit="1" customWidth="1"/>
    <col min="126" max="126" width="13.28515625" bestFit="1" customWidth="1"/>
    <col min="127" max="127" width="12.140625" bestFit="1" customWidth="1"/>
    <col min="128" max="128" width="16.42578125" bestFit="1" customWidth="1"/>
    <col min="129" max="129" width="22.85546875" bestFit="1" customWidth="1"/>
    <col min="130" max="130" width="25.85546875" bestFit="1" customWidth="1"/>
    <col min="131" max="131" width="13.42578125" bestFit="1" customWidth="1"/>
    <col min="132" max="132" width="16.42578125" bestFit="1" customWidth="1"/>
    <col min="133" max="133" width="15.42578125" bestFit="1" customWidth="1"/>
    <col min="134" max="134" width="18.42578125" bestFit="1" customWidth="1"/>
    <col min="135" max="135" width="12.140625" bestFit="1" customWidth="1"/>
    <col min="136" max="136" width="15.140625" bestFit="1" customWidth="1"/>
    <col min="137" max="137" width="17.140625" bestFit="1" customWidth="1"/>
    <col min="138" max="138" width="20.140625" bestFit="1" customWidth="1"/>
    <col min="139" max="139" width="13.7109375" bestFit="1" customWidth="1"/>
    <col min="140" max="140" width="16.7109375" bestFit="1" customWidth="1"/>
    <col min="141" max="141" width="15.140625" bestFit="1" customWidth="1"/>
    <col min="142" max="142" width="18.140625" bestFit="1" customWidth="1"/>
    <col min="143" max="143" width="13.42578125" bestFit="1" customWidth="1"/>
    <col min="144" max="144" width="16.42578125" bestFit="1" customWidth="1"/>
    <col min="145" max="145" width="15.140625" bestFit="1" customWidth="1"/>
    <col min="146" max="146" width="10.85546875" bestFit="1" customWidth="1"/>
    <col min="147" max="147" width="8.140625" bestFit="1" customWidth="1"/>
    <col min="148" max="148" width="9.140625" bestFit="1" customWidth="1"/>
    <col min="149" max="149" width="18.140625" bestFit="1" customWidth="1"/>
    <col min="150" max="150" width="14.140625" bestFit="1" customWidth="1"/>
    <col min="151" max="151" width="17.28515625" bestFit="1" customWidth="1"/>
    <col min="152" max="152" width="17.5703125" bestFit="1" customWidth="1"/>
    <col min="153" max="153" width="20.5703125" bestFit="1" customWidth="1"/>
    <col min="154" max="154" width="19.42578125" bestFit="1" customWidth="1"/>
    <col min="155" max="155" width="22.42578125" bestFit="1" customWidth="1"/>
    <col min="156" max="156" width="14" bestFit="1" customWidth="1"/>
    <col min="157" max="157" width="16.28515625" bestFit="1" customWidth="1"/>
    <col min="158" max="158" width="12.42578125" bestFit="1" customWidth="1"/>
    <col min="159" max="159" width="15.42578125" bestFit="1" customWidth="1"/>
    <col min="160" max="160" width="14.7109375" bestFit="1" customWidth="1"/>
    <col min="161" max="161" width="17.7109375" bestFit="1" customWidth="1"/>
    <col min="162" max="162" width="15.28515625" bestFit="1" customWidth="1"/>
    <col min="163" max="163" width="15.85546875" bestFit="1" customWidth="1"/>
    <col min="164" max="164" width="11.85546875" bestFit="1" customWidth="1"/>
    <col min="165" max="165" width="13.140625" bestFit="1" customWidth="1"/>
    <col min="166" max="166" width="19.28515625" bestFit="1" customWidth="1"/>
    <col min="167" max="167" width="22.28515625" bestFit="1" customWidth="1"/>
    <col min="168" max="169" width="12.5703125" bestFit="1" customWidth="1"/>
    <col min="170" max="170" width="14.140625" bestFit="1" customWidth="1"/>
    <col min="171" max="171" width="12.140625" bestFit="1" customWidth="1"/>
    <col min="172" max="172" width="13" bestFit="1" customWidth="1"/>
    <col min="173" max="173" width="9.85546875" bestFit="1" customWidth="1"/>
    <col min="174" max="174" width="17.140625" bestFit="1" customWidth="1"/>
    <col min="175" max="175" width="13.28515625" bestFit="1" customWidth="1"/>
    <col min="176" max="176" width="9.5703125" bestFit="1" customWidth="1"/>
    <col min="177" max="177" width="17.42578125" bestFit="1" customWidth="1"/>
    <col min="178" max="178" width="10.42578125" bestFit="1" customWidth="1"/>
    <col min="179" max="179" width="12.42578125" bestFit="1" customWidth="1"/>
    <col min="180" max="180" width="15.85546875" bestFit="1" customWidth="1"/>
    <col min="181" max="181" width="12.140625" bestFit="1" customWidth="1"/>
    <col min="182" max="182" width="11.140625" bestFit="1" customWidth="1"/>
    <col min="183" max="183" width="15" bestFit="1" customWidth="1"/>
    <col min="184" max="184" width="11.28515625" bestFit="1" customWidth="1"/>
    <col min="185" max="185" width="14.28515625" bestFit="1" customWidth="1"/>
    <col min="186" max="186" width="12" bestFit="1" customWidth="1"/>
    <col min="187" max="187" width="15" bestFit="1" customWidth="1"/>
    <col min="188" max="188" width="14" bestFit="1" customWidth="1"/>
    <col min="189" max="189" width="17.140625" bestFit="1" customWidth="1"/>
    <col min="190" max="190" width="17.42578125" bestFit="1" customWidth="1"/>
    <col min="191" max="191" width="9.5703125" bestFit="1" customWidth="1"/>
    <col min="192" max="192" width="14.7109375" bestFit="1" customWidth="1"/>
    <col min="193" max="193" width="9.5703125" bestFit="1" customWidth="1"/>
    <col min="194" max="194" width="13.85546875" bestFit="1" customWidth="1"/>
    <col min="195" max="195" width="11.28515625" bestFit="1" customWidth="1"/>
    <col min="196" max="196" width="15.5703125" bestFit="1" customWidth="1"/>
    <col min="197" max="197" width="14.5703125" bestFit="1" customWidth="1"/>
    <col min="198" max="198" width="10.7109375" bestFit="1" customWidth="1"/>
  </cols>
  <sheetData>
    <row r="1" spans="1:26" s="3" customFormat="1" ht="15.75" thickBot="1" x14ac:dyDescent="0.3">
      <c r="A1" s="1" t="s">
        <v>0</v>
      </c>
      <c r="B1" s="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25">
      <c r="A2" s="4">
        <v>1</v>
      </c>
      <c r="B2" s="4" t="s">
        <v>240</v>
      </c>
      <c r="C2" s="31">
        <v>9.7200000000000006</v>
      </c>
      <c r="D2" s="4">
        <v>1994</v>
      </c>
      <c r="E2" s="5" t="s">
        <v>241</v>
      </c>
      <c r="F2" s="10" t="s">
        <v>56</v>
      </c>
      <c r="G2" s="10" t="s">
        <v>415</v>
      </c>
      <c r="H2" s="10" t="s">
        <v>242</v>
      </c>
      <c r="I2" s="10" t="s">
        <v>243</v>
      </c>
      <c r="J2" s="10" t="s">
        <v>219</v>
      </c>
      <c r="K2" s="10" t="s">
        <v>227</v>
      </c>
      <c r="L2" s="10" t="s">
        <v>716</v>
      </c>
      <c r="M2" s="4">
        <v>9.3000000000000007</v>
      </c>
      <c r="N2" s="4">
        <v>91</v>
      </c>
      <c r="O2" s="4">
        <v>4.5999999999999996</v>
      </c>
      <c r="P2" s="22">
        <f t="shared" ref="P2:P33" si="0">(M2+(N2/10)+(O2*2))/3</f>
        <v>9.1999999999999993</v>
      </c>
      <c r="Q2" s="22">
        <f t="shared" ref="Q2:Q33" si="1">(M2+C2+(N2/10)+(O2*2))/4</f>
        <v>9.3300000000000018</v>
      </c>
      <c r="R2" s="30">
        <f t="shared" ref="R2:R33" si="2">IF(C2&gt;=9.5,10,
IF(C2&gt;=9,9,
IF(C2&gt;=8,8,
IF(C2&gt;=7,7,
IF(C2&gt;=6,6,
IF(C2&gt;=5,5,
IF(C2&gt;=4,4,
IF(C2&gt;=3,3,
IF(C2&gt;=1.5,2,
IF(C2&gt;=0,1,""))))))))))</f>
        <v>10</v>
      </c>
      <c r="S2" s="22">
        <f t="shared" ref="S2:S33" si="3">IF(C2&gt;=9.5,5,
IF(C2&gt;=9,4.5,
IF(C2&gt;=8,4,
IF(C2&gt;=7,3.5,
IF(C2&gt;=6,3,
IF(C2&gt;=5,2.5,
IF(C2&gt;=4,2,
IF(C2&gt;=3,1.5,
IF(C2&gt;=1.5,1,
IF(C2&gt;=0,0.5,""))))))))))</f>
        <v>5</v>
      </c>
      <c r="T2" s="28">
        <v>45158</v>
      </c>
      <c r="U2" s="28" t="s">
        <v>805</v>
      </c>
      <c r="V2">
        <v>142</v>
      </c>
      <c r="W2" t="s">
        <v>964</v>
      </c>
      <c r="X2" t="s">
        <v>960</v>
      </c>
    </row>
    <row r="3" spans="1:26" x14ac:dyDescent="0.25">
      <c r="A3" s="4">
        <v>2</v>
      </c>
      <c r="B3" s="4" t="s">
        <v>20</v>
      </c>
      <c r="C3" s="31">
        <v>9.7100000000000009</v>
      </c>
      <c r="D3" s="4">
        <v>1997</v>
      </c>
      <c r="E3" s="5" t="s">
        <v>21</v>
      </c>
      <c r="F3" s="5" t="s">
        <v>23</v>
      </c>
      <c r="G3" s="5" t="s">
        <v>22</v>
      </c>
      <c r="H3" s="10" t="s">
        <v>263</v>
      </c>
      <c r="I3" s="5" t="s">
        <v>40</v>
      </c>
      <c r="J3" s="5" t="s">
        <v>219</v>
      </c>
      <c r="K3" s="5" t="s">
        <v>231</v>
      </c>
      <c r="M3" s="4">
        <v>8.3000000000000007</v>
      </c>
      <c r="N3" s="4">
        <v>97</v>
      </c>
      <c r="O3" s="4">
        <v>4.4000000000000004</v>
      </c>
      <c r="P3" s="22">
        <f t="shared" si="0"/>
        <v>8.9333333333333336</v>
      </c>
      <c r="Q3" s="22">
        <f t="shared" si="1"/>
        <v>9.1275000000000013</v>
      </c>
      <c r="R3" s="30">
        <f t="shared" si="2"/>
        <v>10</v>
      </c>
      <c r="S3" s="22">
        <f t="shared" si="3"/>
        <v>5</v>
      </c>
      <c r="T3" s="28">
        <v>45912</v>
      </c>
      <c r="U3" s="28" t="s">
        <v>805</v>
      </c>
      <c r="V3">
        <v>126</v>
      </c>
      <c r="W3" t="s">
        <v>964</v>
      </c>
      <c r="X3" t="s">
        <v>960</v>
      </c>
      <c r="Y3" s="24" t="s">
        <v>600</v>
      </c>
    </row>
    <row r="4" spans="1:26" x14ac:dyDescent="0.25">
      <c r="A4" s="4">
        <v>3</v>
      </c>
      <c r="B4" s="4" t="s">
        <v>8</v>
      </c>
      <c r="C4" s="31">
        <v>9.6300000000000008</v>
      </c>
      <c r="D4" s="4">
        <v>2022</v>
      </c>
      <c r="E4" s="5" t="s">
        <v>9</v>
      </c>
      <c r="F4" s="5" t="s">
        <v>29</v>
      </c>
      <c r="G4" s="5" t="s">
        <v>416</v>
      </c>
      <c r="H4" s="5" t="s">
        <v>10</v>
      </c>
      <c r="I4" s="5" t="s">
        <v>38</v>
      </c>
      <c r="J4" s="5" t="s">
        <v>218</v>
      </c>
      <c r="K4" s="5" t="s">
        <v>219</v>
      </c>
      <c r="L4" s="5" t="s">
        <v>227</v>
      </c>
      <c r="M4" s="4">
        <v>8.1999999999999993</v>
      </c>
      <c r="N4" s="4">
        <v>96</v>
      </c>
      <c r="O4" s="4">
        <v>4</v>
      </c>
      <c r="P4" s="22">
        <f t="shared" si="0"/>
        <v>8.6</v>
      </c>
      <c r="Q4" s="22">
        <f t="shared" si="1"/>
        <v>8.8574999999999999</v>
      </c>
      <c r="R4" s="30">
        <f t="shared" si="2"/>
        <v>10</v>
      </c>
      <c r="S4" s="22">
        <f t="shared" si="3"/>
        <v>5</v>
      </c>
      <c r="T4" s="28">
        <v>45335</v>
      </c>
      <c r="U4" s="28" t="s">
        <v>805</v>
      </c>
      <c r="V4">
        <v>130</v>
      </c>
      <c r="W4" t="s">
        <v>964</v>
      </c>
      <c r="X4" t="s">
        <v>967</v>
      </c>
      <c r="Y4" s="10">
        <v>3</v>
      </c>
    </row>
    <row r="5" spans="1:26" x14ac:dyDescent="0.25">
      <c r="A5" s="4">
        <v>4</v>
      </c>
      <c r="B5" s="4" t="s">
        <v>438</v>
      </c>
      <c r="C5" s="31">
        <v>9.6199999999999992</v>
      </c>
      <c r="D5" s="4">
        <v>2014</v>
      </c>
      <c r="E5" s="10" t="s">
        <v>158</v>
      </c>
      <c r="F5" s="10" t="s">
        <v>439</v>
      </c>
      <c r="G5" s="10" t="s">
        <v>440</v>
      </c>
      <c r="H5" s="10" t="s">
        <v>441</v>
      </c>
      <c r="I5" s="10" t="s">
        <v>442</v>
      </c>
      <c r="J5" s="10" t="s">
        <v>236</v>
      </c>
      <c r="K5" s="5" t="s">
        <v>218</v>
      </c>
      <c r="L5" s="10" t="s">
        <v>230</v>
      </c>
      <c r="M5" s="4">
        <v>7.3</v>
      </c>
      <c r="N5" s="4">
        <v>72</v>
      </c>
      <c r="O5" s="4">
        <v>3.4</v>
      </c>
      <c r="P5" s="22">
        <f t="shared" si="0"/>
        <v>7.1000000000000005</v>
      </c>
      <c r="Q5" s="22">
        <f t="shared" si="1"/>
        <v>7.7299999999999995</v>
      </c>
      <c r="R5" s="30">
        <f t="shared" si="2"/>
        <v>10</v>
      </c>
      <c r="S5" s="22">
        <f t="shared" si="3"/>
        <v>5</v>
      </c>
      <c r="T5" s="28">
        <v>45761</v>
      </c>
      <c r="U5" s="28" t="s">
        <v>805</v>
      </c>
      <c r="V5">
        <v>133</v>
      </c>
      <c r="W5" t="s">
        <v>964</v>
      </c>
      <c r="X5" t="s">
        <v>967</v>
      </c>
      <c r="Y5" s="25">
        <v>9.5399999999999991</v>
      </c>
    </row>
    <row r="6" spans="1:26" x14ac:dyDescent="0.25">
      <c r="A6" s="4">
        <v>5</v>
      </c>
      <c r="B6" s="4" t="s">
        <v>550</v>
      </c>
      <c r="C6" s="31">
        <v>9.61</v>
      </c>
      <c r="D6" s="4">
        <v>2011</v>
      </c>
      <c r="E6" s="5" t="s">
        <v>57</v>
      </c>
      <c r="F6" s="10" t="s">
        <v>15</v>
      </c>
      <c r="G6" s="10" t="s">
        <v>551</v>
      </c>
      <c r="H6" s="10" t="s">
        <v>552</v>
      </c>
      <c r="I6" s="10" t="s">
        <v>553</v>
      </c>
      <c r="J6" s="10" t="s">
        <v>220</v>
      </c>
      <c r="K6" s="10" t="s">
        <v>219</v>
      </c>
      <c r="L6" s="10" t="s">
        <v>230</v>
      </c>
      <c r="M6" s="4">
        <v>7.6</v>
      </c>
      <c r="N6" s="4">
        <v>94</v>
      </c>
      <c r="O6" s="4">
        <v>3.9</v>
      </c>
      <c r="P6" s="22">
        <f t="shared" si="0"/>
        <v>8.2666666666666675</v>
      </c>
      <c r="Q6" s="22">
        <f t="shared" si="1"/>
        <v>8.6024999999999991</v>
      </c>
      <c r="R6" s="30">
        <f t="shared" si="2"/>
        <v>10</v>
      </c>
      <c r="S6" s="22">
        <f t="shared" si="3"/>
        <v>5</v>
      </c>
      <c r="T6" s="28">
        <v>45784</v>
      </c>
      <c r="U6" s="28" t="s">
        <v>805</v>
      </c>
      <c r="V6">
        <v>133</v>
      </c>
      <c r="W6" t="s">
        <v>964</v>
      </c>
      <c r="X6" t="s">
        <v>960</v>
      </c>
      <c r="Y6" s="26" t="s">
        <v>8</v>
      </c>
    </row>
    <row r="7" spans="1:26" x14ac:dyDescent="0.25">
      <c r="A7" s="4">
        <v>6</v>
      </c>
      <c r="B7" s="4" t="s">
        <v>24</v>
      </c>
      <c r="C7" s="31">
        <v>9.5299999999999994</v>
      </c>
      <c r="D7" s="4">
        <v>2006</v>
      </c>
      <c r="E7" s="5" t="s">
        <v>14</v>
      </c>
      <c r="F7" s="5" t="s">
        <v>21</v>
      </c>
      <c r="G7" s="5" t="s">
        <v>26</v>
      </c>
      <c r="H7" s="5" t="s">
        <v>25</v>
      </c>
      <c r="I7" s="5" t="s">
        <v>37</v>
      </c>
      <c r="J7" s="5" t="s">
        <v>225</v>
      </c>
      <c r="K7" s="5" t="s">
        <v>219</v>
      </c>
      <c r="L7" s="5" t="s">
        <v>227</v>
      </c>
      <c r="M7" s="4">
        <v>8.5</v>
      </c>
      <c r="N7" s="4">
        <v>91</v>
      </c>
      <c r="O7" s="4">
        <v>4.3</v>
      </c>
      <c r="P7" s="22">
        <f t="shared" si="0"/>
        <v>8.7333333333333343</v>
      </c>
      <c r="Q7" s="22">
        <f t="shared" si="1"/>
        <v>8.932500000000001</v>
      </c>
      <c r="R7" s="30">
        <f t="shared" si="2"/>
        <v>10</v>
      </c>
      <c r="S7" s="22">
        <f t="shared" si="3"/>
        <v>5</v>
      </c>
      <c r="T7" s="28">
        <v>45890</v>
      </c>
      <c r="U7" s="28" t="s">
        <v>805</v>
      </c>
      <c r="V7">
        <v>151</v>
      </c>
      <c r="W7" t="s">
        <v>964</v>
      </c>
      <c r="X7" t="s">
        <v>960</v>
      </c>
      <c r="Y7" s="10">
        <v>27</v>
      </c>
    </row>
    <row r="8" spans="1:26" x14ac:dyDescent="0.25">
      <c r="A8" s="4">
        <v>7</v>
      </c>
      <c r="B8" s="4" t="s">
        <v>249</v>
      </c>
      <c r="C8" s="31">
        <v>9.52</v>
      </c>
      <c r="D8" s="4">
        <v>2004</v>
      </c>
      <c r="E8" s="5" t="s">
        <v>136</v>
      </c>
      <c r="F8" s="10" t="s">
        <v>250</v>
      </c>
      <c r="G8" s="10" t="s">
        <v>251</v>
      </c>
      <c r="H8" s="10" t="s">
        <v>252</v>
      </c>
      <c r="I8" s="10" t="s">
        <v>253</v>
      </c>
      <c r="J8" s="10" t="s">
        <v>220</v>
      </c>
      <c r="K8" s="10" t="s">
        <v>230</v>
      </c>
      <c r="L8" s="10" t="s">
        <v>219</v>
      </c>
      <c r="M8" s="4">
        <v>7.5</v>
      </c>
      <c r="N8" s="4">
        <v>81</v>
      </c>
      <c r="O8" s="4">
        <v>3.8</v>
      </c>
      <c r="P8" s="22">
        <f t="shared" si="0"/>
        <v>7.7333333333333334</v>
      </c>
      <c r="Q8" s="22">
        <f t="shared" si="1"/>
        <v>8.18</v>
      </c>
      <c r="R8" s="30">
        <f t="shared" si="2"/>
        <v>10</v>
      </c>
      <c r="S8" s="22">
        <f t="shared" si="3"/>
        <v>5</v>
      </c>
      <c r="T8" s="28">
        <v>45703</v>
      </c>
      <c r="U8" s="28" t="s">
        <v>805</v>
      </c>
      <c r="V8">
        <v>135</v>
      </c>
      <c r="W8" t="s">
        <v>969</v>
      </c>
      <c r="X8" t="s">
        <v>967</v>
      </c>
      <c r="Y8" s="25">
        <v>8.92</v>
      </c>
    </row>
    <row r="9" spans="1:26" x14ac:dyDescent="0.25">
      <c r="A9" s="4">
        <v>8</v>
      </c>
      <c r="B9" s="4" t="s">
        <v>377</v>
      </c>
      <c r="C9" s="31">
        <v>9.43</v>
      </c>
      <c r="D9" s="4">
        <v>2014</v>
      </c>
      <c r="E9" s="10" t="s">
        <v>17</v>
      </c>
      <c r="F9" s="10" t="s">
        <v>378</v>
      </c>
      <c r="G9" s="10" t="s">
        <v>71</v>
      </c>
      <c r="H9" s="10" t="s">
        <v>379</v>
      </c>
      <c r="I9" s="10" t="s">
        <v>41</v>
      </c>
      <c r="J9" t="s">
        <v>233</v>
      </c>
      <c r="K9" t="s">
        <v>219</v>
      </c>
      <c r="L9" s="10" t="s">
        <v>232</v>
      </c>
      <c r="M9" s="4">
        <v>8.6999999999999993</v>
      </c>
      <c r="N9" s="4">
        <v>72</v>
      </c>
      <c r="O9" s="4">
        <v>4.4000000000000004</v>
      </c>
      <c r="P9" s="22">
        <f t="shared" si="0"/>
        <v>8.2333333333333325</v>
      </c>
      <c r="Q9" s="22">
        <f t="shared" si="1"/>
        <v>8.5324999999999989</v>
      </c>
      <c r="R9" s="30">
        <f t="shared" si="2"/>
        <v>9</v>
      </c>
      <c r="S9" s="22">
        <f t="shared" si="3"/>
        <v>4.5</v>
      </c>
      <c r="T9" s="28">
        <v>45118</v>
      </c>
      <c r="U9" s="28" t="s">
        <v>805</v>
      </c>
      <c r="V9">
        <v>169</v>
      </c>
      <c r="W9" t="s">
        <v>964</v>
      </c>
      <c r="X9" t="s">
        <v>872</v>
      </c>
      <c r="Y9" s="26" t="s">
        <v>564</v>
      </c>
    </row>
    <row r="10" spans="1:26" x14ac:dyDescent="0.25">
      <c r="A10" s="4">
        <v>9</v>
      </c>
      <c r="B10" s="4" t="s">
        <v>13</v>
      </c>
      <c r="C10" s="31">
        <v>9.42</v>
      </c>
      <c r="D10" s="4">
        <v>2013</v>
      </c>
      <c r="E10" s="5" t="s">
        <v>14</v>
      </c>
      <c r="F10" s="5" t="s">
        <v>260</v>
      </c>
      <c r="G10" s="5" t="s">
        <v>17</v>
      </c>
      <c r="H10" s="5" t="s">
        <v>15</v>
      </c>
      <c r="I10" s="5" t="s">
        <v>37</v>
      </c>
      <c r="J10" s="5" t="s">
        <v>225</v>
      </c>
      <c r="K10" s="5" t="s">
        <v>229</v>
      </c>
      <c r="L10" s="5" t="s">
        <v>219</v>
      </c>
      <c r="M10" s="4">
        <v>8.1999999999999993</v>
      </c>
      <c r="N10" s="4">
        <v>80</v>
      </c>
      <c r="O10" s="4">
        <v>4</v>
      </c>
      <c r="P10" s="22">
        <f t="shared" si="0"/>
        <v>8.0666666666666664</v>
      </c>
      <c r="Q10" s="22">
        <f t="shared" si="1"/>
        <v>8.4049999999999994</v>
      </c>
      <c r="R10" s="30">
        <f t="shared" si="2"/>
        <v>9</v>
      </c>
      <c r="S10" s="22">
        <f t="shared" si="3"/>
        <v>4.5</v>
      </c>
      <c r="T10" s="28">
        <v>45114</v>
      </c>
      <c r="U10" s="28" t="s">
        <v>805</v>
      </c>
      <c r="V10">
        <v>180</v>
      </c>
      <c r="W10" t="s">
        <v>964</v>
      </c>
      <c r="X10" t="s">
        <v>872</v>
      </c>
      <c r="Y10" s="10">
        <v>35</v>
      </c>
    </row>
    <row r="11" spans="1:26" x14ac:dyDescent="0.25">
      <c r="A11" s="4">
        <v>10</v>
      </c>
      <c r="B11" s="4" t="s">
        <v>711</v>
      </c>
      <c r="C11" s="31">
        <v>9.41</v>
      </c>
      <c r="D11" s="4">
        <v>2014</v>
      </c>
      <c r="E11" s="10" t="s">
        <v>57</v>
      </c>
      <c r="F11" s="10" t="s">
        <v>712</v>
      </c>
      <c r="G11" s="10" t="s">
        <v>713</v>
      </c>
      <c r="H11" s="10" t="s">
        <v>434</v>
      </c>
      <c r="I11" s="10" t="s">
        <v>714</v>
      </c>
      <c r="J11" s="10" t="s">
        <v>236</v>
      </c>
      <c r="K11" s="10" t="s">
        <v>218</v>
      </c>
      <c r="L11" s="10" t="s">
        <v>219</v>
      </c>
      <c r="M11" s="4">
        <v>7.8</v>
      </c>
      <c r="N11" s="4">
        <v>100</v>
      </c>
      <c r="O11" s="4">
        <v>3.8</v>
      </c>
      <c r="P11" s="22">
        <f t="shared" si="0"/>
        <v>8.4666666666666668</v>
      </c>
      <c r="Q11" s="22">
        <f t="shared" si="1"/>
        <v>8.7025000000000006</v>
      </c>
      <c r="R11" s="30">
        <f t="shared" si="2"/>
        <v>9</v>
      </c>
      <c r="S11" s="22">
        <f t="shared" si="3"/>
        <v>4.5</v>
      </c>
      <c r="T11" s="28">
        <v>45718</v>
      </c>
      <c r="U11" s="28" t="s">
        <v>805</v>
      </c>
      <c r="V11">
        <v>134</v>
      </c>
      <c r="W11" t="s">
        <v>964</v>
      </c>
      <c r="X11" t="s">
        <v>872</v>
      </c>
      <c r="Y11" s="25">
        <v>8.82</v>
      </c>
    </row>
    <row r="12" spans="1:26" x14ac:dyDescent="0.25">
      <c r="A12" s="4">
        <v>11</v>
      </c>
      <c r="B12" s="4" t="s">
        <v>62</v>
      </c>
      <c r="C12" s="31">
        <v>9.34</v>
      </c>
      <c r="D12" s="4">
        <v>1994</v>
      </c>
      <c r="E12" s="5" t="s">
        <v>63</v>
      </c>
      <c r="F12" s="5" t="s">
        <v>64</v>
      </c>
      <c r="G12" s="5" t="s">
        <v>65</v>
      </c>
      <c r="H12" s="5" t="s">
        <v>273</v>
      </c>
      <c r="I12" s="5" t="s">
        <v>66</v>
      </c>
      <c r="J12" s="5" t="s">
        <v>225</v>
      </c>
      <c r="K12" s="5" t="s">
        <v>219</v>
      </c>
      <c r="L12" s="5" t="s">
        <v>717</v>
      </c>
      <c r="M12" s="4">
        <v>8.9</v>
      </c>
      <c r="N12" s="4">
        <v>92</v>
      </c>
      <c r="O12" s="4">
        <v>4.2</v>
      </c>
      <c r="P12" s="22">
        <f t="shared" si="0"/>
        <v>8.8333333333333339</v>
      </c>
      <c r="Q12" s="22">
        <f t="shared" si="1"/>
        <v>8.9600000000000009</v>
      </c>
      <c r="R12" s="30">
        <f t="shared" si="2"/>
        <v>9</v>
      </c>
      <c r="S12" s="22">
        <f t="shared" si="3"/>
        <v>4.5</v>
      </c>
      <c r="T12" s="28">
        <v>45014</v>
      </c>
      <c r="U12" s="28" t="s">
        <v>805</v>
      </c>
      <c r="V12">
        <v>154</v>
      </c>
      <c r="W12" t="s">
        <v>964</v>
      </c>
      <c r="X12" t="s">
        <v>872</v>
      </c>
      <c r="Y12" s="26" t="s">
        <v>590</v>
      </c>
    </row>
    <row r="13" spans="1:26" x14ac:dyDescent="0.25">
      <c r="A13" s="4">
        <v>12</v>
      </c>
      <c r="B13" s="4" t="s">
        <v>795</v>
      </c>
      <c r="C13" s="31">
        <v>9.33</v>
      </c>
      <c r="D13" s="4">
        <v>2016</v>
      </c>
      <c r="E13" s="10" t="s">
        <v>577</v>
      </c>
      <c r="F13" s="10" t="s">
        <v>741</v>
      </c>
      <c r="G13" s="10" t="s">
        <v>742</v>
      </c>
      <c r="H13" s="10" t="s">
        <v>743</v>
      </c>
      <c r="I13" s="10" t="s">
        <v>744</v>
      </c>
      <c r="J13" s="10" t="s">
        <v>236</v>
      </c>
      <c r="K13" s="10" t="s">
        <v>227</v>
      </c>
      <c r="L13" s="10" t="s">
        <v>219</v>
      </c>
      <c r="M13" s="4">
        <v>7.3</v>
      </c>
      <c r="N13" s="4">
        <v>51</v>
      </c>
      <c r="O13" s="4">
        <v>3.4</v>
      </c>
      <c r="P13" s="22">
        <f t="shared" si="0"/>
        <v>6.3999999999999995</v>
      </c>
      <c r="Q13" s="22">
        <f t="shared" si="1"/>
        <v>7.1324999999999994</v>
      </c>
      <c r="R13" s="30">
        <f t="shared" si="2"/>
        <v>9</v>
      </c>
      <c r="S13" s="22">
        <f t="shared" si="3"/>
        <v>4.5</v>
      </c>
      <c r="T13" s="28">
        <v>45758</v>
      </c>
      <c r="U13" s="28" t="s">
        <v>805</v>
      </c>
      <c r="V13">
        <v>144</v>
      </c>
      <c r="W13" t="s">
        <v>964</v>
      </c>
      <c r="X13" t="s">
        <v>970</v>
      </c>
      <c r="Y13" s="10">
        <v>40</v>
      </c>
    </row>
    <row r="14" spans="1:26" x14ac:dyDescent="0.25">
      <c r="A14" s="4">
        <v>13</v>
      </c>
      <c r="B14" s="4" t="s">
        <v>642</v>
      </c>
      <c r="C14" s="31">
        <v>9.32</v>
      </c>
      <c r="D14" s="4">
        <v>2013</v>
      </c>
      <c r="E14" s="5" t="s">
        <v>26</v>
      </c>
      <c r="F14" s="10" t="s">
        <v>643</v>
      </c>
      <c r="G14" s="10" t="s">
        <v>620</v>
      </c>
      <c r="H14" s="10" t="s">
        <v>644</v>
      </c>
      <c r="I14" s="10" t="s">
        <v>366</v>
      </c>
      <c r="J14" s="10" t="s">
        <v>236</v>
      </c>
      <c r="K14" s="10" t="s">
        <v>230</v>
      </c>
      <c r="L14" t="s">
        <v>219</v>
      </c>
      <c r="M14" s="4">
        <v>7.5</v>
      </c>
      <c r="N14" s="4">
        <v>75</v>
      </c>
      <c r="O14" s="4">
        <v>3.5</v>
      </c>
      <c r="P14" s="22">
        <f t="shared" si="0"/>
        <v>7.333333333333333</v>
      </c>
      <c r="Q14" s="22">
        <f t="shared" si="1"/>
        <v>7.83</v>
      </c>
      <c r="R14" s="30">
        <f t="shared" si="2"/>
        <v>9</v>
      </c>
      <c r="S14" s="22">
        <f t="shared" si="3"/>
        <v>4.5</v>
      </c>
      <c r="T14" s="28">
        <v>45476</v>
      </c>
      <c r="U14" s="28" t="s">
        <v>805</v>
      </c>
      <c r="V14">
        <v>121</v>
      </c>
      <c r="W14" t="s">
        <v>969</v>
      </c>
      <c r="X14" t="s">
        <v>967</v>
      </c>
      <c r="Y14" s="25">
        <v>8.7799999999999994</v>
      </c>
    </row>
    <row r="15" spans="1:26" x14ac:dyDescent="0.25">
      <c r="A15" s="4">
        <v>14</v>
      </c>
      <c r="B15" s="4" t="s">
        <v>31</v>
      </c>
      <c r="C15" s="31">
        <v>9.31</v>
      </c>
      <c r="D15" s="4">
        <v>1990</v>
      </c>
      <c r="E15" s="5" t="s">
        <v>32</v>
      </c>
      <c r="F15" s="5" t="s">
        <v>33</v>
      </c>
      <c r="G15" s="5" t="s">
        <v>34</v>
      </c>
      <c r="H15" s="5" t="s">
        <v>264</v>
      </c>
      <c r="I15" s="5" t="s">
        <v>37</v>
      </c>
      <c r="J15" s="5" t="s">
        <v>225</v>
      </c>
      <c r="K15" s="5" t="s">
        <v>219</v>
      </c>
      <c r="L15" s="5" t="s">
        <v>717</v>
      </c>
      <c r="M15" s="4">
        <v>8.6999999999999993</v>
      </c>
      <c r="N15" s="4">
        <v>96</v>
      </c>
      <c r="O15" s="4">
        <v>4.5</v>
      </c>
      <c r="P15" s="22">
        <f t="shared" si="0"/>
        <v>9.1</v>
      </c>
      <c r="Q15" s="22">
        <f t="shared" si="1"/>
        <v>9.1524999999999999</v>
      </c>
      <c r="R15" s="30">
        <f t="shared" si="2"/>
        <v>9</v>
      </c>
      <c r="S15" s="22">
        <f t="shared" si="3"/>
        <v>4.5</v>
      </c>
      <c r="T15" s="28">
        <v>45897</v>
      </c>
      <c r="U15" s="28" t="s">
        <v>805</v>
      </c>
      <c r="V15">
        <v>145</v>
      </c>
      <c r="W15" t="s">
        <v>964</v>
      </c>
      <c r="X15" t="s">
        <v>872</v>
      </c>
      <c r="Y15" s="26" t="s">
        <v>697</v>
      </c>
    </row>
    <row r="16" spans="1:26" x14ac:dyDescent="0.25">
      <c r="A16" s="4">
        <v>15</v>
      </c>
      <c r="B16" s="4" t="s">
        <v>163</v>
      </c>
      <c r="C16" s="31">
        <v>9.23</v>
      </c>
      <c r="D16" s="4">
        <v>2005</v>
      </c>
      <c r="E16" s="10" t="s">
        <v>165</v>
      </c>
      <c r="F16" s="10" t="s">
        <v>96</v>
      </c>
      <c r="G16" s="10" t="s">
        <v>288</v>
      </c>
      <c r="H16" s="10" t="s">
        <v>289</v>
      </c>
      <c r="I16" s="10" t="s">
        <v>166</v>
      </c>
      <c r="J16" s="5" t="s">
        <v>229</v>
      </c>
      <c r="K16" s="5"/>
      <c r="L16" s="5"/>
      <c r="M16" s="4">
        <v>7</v>
      </c>
      <c r="N16" s="4">
        <v>76</v>
      </c>
      <c r="O16" s="4">
        <v>3.2</v>
      </c>
      <c r="P16" s="22">
        <f t="shared" si="0"/>
        <v>7</v>
      </c>
      <c r="Q16" s="22">
        <f t="shared" si="1"/>
        <v>7.5574999999999992</v>
      </c>
      <c r="R16" s="30">
        <f t="shared" si="2"/>
        <v>9</v>
      </c>
      <c r="S16" s="22">
        <f t="shared" si="3"/>
        <v>4.5</v>
      </c>
      <c r="T16" s="28">
        <v>45765</v>
      </c>
      <c r="U16" s="28" t="s">
        <v>805</v>
      </c>
      <c r="V16">
        <v>119</v>
      </c>
      <c r="W16" t="s">
        <v>964</v>
      </c>
      <c r="X16" t="s">
        <v>872</v>
      </c>
      <c r="Y16" s="10">
        <v>47</v>
      </c>
    </row>
    <row r="17" spans="1:25" x14ac:dyDescent="0.25">
      <c r="A17" s="4">
        <v>16</v>
      </c>
      <c r="B17" s="4" t="s">
        <v>757</v>
      </c>
      <c r="C17" s="31">
        <v>9.2200000000000006</v>
      </c>
      <c r="D17" s="4">
        <v>2023</v>
      </c>
      <c r="E17" s="10" t="s">
        <v>799</v>
      </c>
      <c r="F17" s="10" t="s">
        <v>800</v>
      </c>
      <c r="G17" s="10" t="s">
        <v>801</v>
      </c>
      <c r="H17" s="10" t="s">
        <v>802</v>
      </c>
      <c r="I17" s="10" t="s">
        <v>756</v>
      </c>
      <c r="J17" s="10" t="s">
        <v>236</v>
      </c>
      <c r="K17" s="10" t="s">
        <v>227</v>
      </c>
      <c r="L17" s="10" t="s">
        <v>219</v>
      </c>
      <c r="M17" s="4">
        <v>7.5</v>
      </c>
      <c r="N17" s="4">
        <v>83</v>
      </c>
      <c r="O17" s="4">
        <v>3.5</v>
      </c>
      <c r="P17" s="22">
        <f t="shared" si="0"/>
        <v>7.6000000000000005</v>
      </c>
      <c r="Q17" s="22">
        <f t="shared" si="1"/>
        <v>8.004999999999999</v>
      </c>
      <c r="R17" s="30">
        <f t="shared" si="2"/>
        <v>9</v>
      </c>
      <c r="S17" s="22">
        <f t="shared" si="3"/>
        <v>4.5</v>
      </c>
      <c r="T17" s="28">
        <v>45772</v>
      </c>
      <c r="U17" s="28" t="s">
        <v>805</v>
      </c>
      <c r="V17">
        <v>123</v>
      </c>
      <c r="W17" t="s">
        <v>964</v>
      </c>
      <c r="X17" t="s">
        <v>970</v>
      </c>
      <c r="Y17" s="25">
        <v>8.6999999999999993</v>
      </c>
    </row>
    <row r="18" spans="1:25" x14ac:dyDescent="0.25">
      <c r="A18" s="4">
        <v>17</v>
      </c>
      <c r="B18" s="4" t="s">
        <v>60</v>
      </c>
      <c r="C18" s="31">
        <v>9.2100000000000009</v>
      </c>
      <c r="D18" s="4">
        <v>2010</v>
      </c>
      <c r="E18" s="5" t="s">
        <v>11</v>
      </c>
      <c r="F18" s="5" t="s">
        <v>26</v>
      </c>
      <c r="G18" s="5" t="s">
        <v>61</v>
      </c>
      <c r="H18" s="5" t="s">
        <v>272</v>
      </c>
      <c r="I18" s="5" t="s">
        <v>39</v>
      </c>
      <c r="J18" s="5" t="s">
        <v>229</v>
      </c>
      <c r="K18" s="5" t="s">
        <v>227</v>
      </c>
      <c r="L18" s="5" t="s">
        <v>225</v>
      </c>
      <c r="M18" s="4">
        <v>6.6</v>
      </c>
      <c r="N18" s="4">
        <v>78</v>
      </c>
      <c r="O18" s="4">
        <v>3.3</v>
      </c>
      <c r="P18" s="22">
        <f t="shared" si="0"/>
        <v>7</v>
      </c>
      <c r="Q18" s="22">
        <f t="shared" si="1"/>
        <v>7.5525000000000002</v>
      </c>
      <c r="R18" s="30">
        <f t="shared" si="2"/>
        <v>9</v>
      </c>
      <c r="S18" s="22">
        <f t="shared" si="3"/>
        <v>4.5</v>
      </c>
      <c r="T18" s="28">
        <v>45690</v>
      </c>
      <c r="U18" s="28" t="s">
        <v>805</v>
      </c>
      <c r="V18">
        <v>107</v>
      </c>
      <c r="W18" t="s">
        <v>964</v>
      </c>
      <c r="X18" t="s">
        <v>967</v>
      </c>
      <c r="Y18" s="26" t="s">
        <v>565</v>
      </c>
    </row>
    <row r="19" spans="1:25" x14ac:dyDescent="0.25">
      <c r="A19" s="4">
        <v>18</v>
      </c>
      <c r="B19" s="4" t="s">
        <v>499</v>
      </c>
      <c r="C19" s="31">
        <v>9.14</v>
      </c>
      <c r="D19" s="4">
        <v>1983</v>
      </c>
      <c r="E19" s="10" t="s">
        <v>44</v>
      </c>
      <c r="F19" s="10" t="s">
        <v>505</v>
      </c>
      <c r="G19" s="10" t="s">
        <v>506</v>
      </c>
      <c r="H19" s="10" t="s">
        <v>488</v>
      </c>
      <c r="I19" s="10" t="s">
        <v>47</v>
      </c>
      <c r="J19" s="10" t="s">
        <v>225</v>
      </c>
      <c r="K19" s="10" t="s">
        <v>219</v>
      </c>
      <c r="L19" s="10" t="s">
        <v>717</v>
      </c>
      <c r="M19" s="4">
        <v>8.3000000000000007</v>
      </c>
      <c r="N19" s="4">
        <v>98</v>
      </c>
      <c r="O19" s="4">
        <v>4.0999999999999996</v>
      </c>
      <c r="P19" s="22">
        <f t="shared" si="0"/>
        <v>8.7666666666666675</v>
      </c>
      <c r="Q19" s="22">
        <f t="shared" si="1"/>
        <v>8.86</v>
      </c>
      <c r="R19" s="30">
        <f t="shared" si="2"/>
        <v>9</v>
      </c>
      <c r="S19" s="22">
        <f t="shared" si="3"/>
        <v>4.5</v>
      </c>
      <c r="T19" s="28">
        <v>45898</v>
      </c>
      <c r="U19" s="28" t="s">
        <v>805</v>
      </c>
      <c r="V19">
        <v>170</v>
      </c>
      <c r="W19" t="s">
        <v>964</v>
      </c>
      <c r="X19" t="s">
        <v>872</v>
      </c>
      <c r="Y19" s="10">
        <v>61</v>
      </c>
    </row>
    <row r="20" spans="1:25" x14ac:dyDescent="0.25">
      <c r="A20" s="4">
        <v>19</v>
      </c>
      <c r="B20" s="4" t="s">
        <v>493</v>
      </c>
      <c r="C20" s="31">
        <v>9.1300000000000008</v>
      </c>
      <c r="D20" s="4">
        <v>2014</v>
      </c>
      <c r="E20" s="5" t="s">
        <v>494</v>
      </c>
      <c r="F20" s="10" t="s">
        <v>495</v>
      </c>
      <c r="G20" s="10" t="s">
        <v>496</v>
      </c>
      <c r="H20" s="10" t="s">
        <v>497</v>
      </c>
      <c r="I20" s="10" t="s">
        <v>498</v>
      </c>
      <c r="J20" s="10" t="s">
        <v>236</v>
      </c>
      <c r="K20" s="10" t="s">
        <v>227</v>
      </c>
      <c r="L20" s="10" t="s">
        <v>219</v>
      </c>
      <c r="M20" s="4">
        <v>8</v>
      </c>
      <c r="N20" s="4">
        <v>89</v>
      </c>
      <c r="O20" s="4">
        <v>3.8</v>
      </c>
      <c r="P20" s="22">
        <f t="shared" si="0"/>
        <v>8.1666666666666661</v>
      </c>
      <c r="Q20" s="22">
        <f t="shared" si="1"/>
        <v>8.4075000000000006</v>
      </c>
      <c r="R20" s="30">
        <f t="shared" si="2"/>
        <v>9</v>
      </c>
      <c r="S20" s="22">
        <f t="shared" si="3"/>
        <v>4.5</v>
      </c>
      <c r="T20" s="28">
        <v>45338</v>
      </c>
      <c r="U20" s="28" t="s">
        <v>805</v>
      </c>
      <c r="V20">
        <v>114</v>
      </c>
      <c r="W20" t="s">
        <v>964</v>
      </c>
      <c r="X20" t="s">
        <v>872</v>
      </c>
      <c r="Y20" s="25">
        <v>8.52</v>
      </c>
    </row>
    <row r="21" spans="1:25" x14ac:dyDescent="0.25">
      <c r="A21" s="4">
        <v>20</v>
      </c>
      <c r="B21" s="4" t="s">
        <v>693</v>
      </c>
      <c r="C21" s="31">
        <v>9.1199999999999992</v>
      </c>
      <c r="D21" s="4">
        <v>2000</v>
      </c>
      <c r="E21" s="10" t="s">
        <v>128</v>
      </c>
      <c r="F21" s="10" t="s">
        <v>694</v>
      </c>
      <c r="G21" s="10" t="s">
        <v>695</v>
      </c>
      <c r="H21" s="10" t="s">
        <v>696</v>
      </c>
      <c r="I21" s="10" t="s">
        <v>791</v>
      </c>
      <c r="J21" s="10" t="s">
        <v>220</v>
      </c>
      <c r="K21" s="10" t="s">
        <v>219</v>
      </c>
      <c r="M21" s="4">
        <v>7.8</v>
      </c>
      <c r="N21" s="4">
        <v>73</v>
      </c>
      <c r="O21" s="4">
        <v>3.9</v>
      </c>
      <c r="P21" s="22">
        <f t="shared" si="0"/>
        <v>7.6333333333333329</v>
      </c>
      <c r="Q21" s="22">
        <f t="shared" si="1"/>
        <v>8.004999999999999</v>
      </c>
      <c r="R21" s="30">
        <f t="shared" si="2"/>
        <v>9</v>
      </c>
      <c r="S21" s="22">
        <f t="shared" si="3"/>
        <v>4.5</v>
      </c>
      <c r="T21" s="28">
        <v>45540</v>
      </c>
      <c r="U21" s="28" t="s">
        <v>805</v>
      </c>
      <c r="V21">
        <v>113</v>
      </c>
      <c r="W21" t="s">
        <v>964</v>
      </c>
      <c r="X21" t="s">
        <v>968</v>
      </c>
      <c r="Y21" s="26" t="s">
        <v>185</v>
      </c>
    </row>
    <row r="22" spans="1:25" x14ac:dyDescent="0.25">
      <c r="A22" s="4">
        <v>21</v>
      </c>
      <c r="B22" s="4" t="s">
        <v>421</v>
      </c>
      <c r="C22" s="31">
        <v>9.11</v>
      </c>
      <c r="D22" s="4">
        <v>2019</v>
      </c>
      <c r="E22" s="10" t="s">
        <v>21</v>
      </c>
      <c r="F22" s="10" t="s">
        <v>132</v>
      </c>
      <c r="G22" s="11" t="s">
        <v>422</v>
      </c>
      <c r="H22" s="11" t="s">
        <v>423</v>
      </c>
      <c r="I22" s="11" t="s">
        <v>424</v>
      </c>
      <c r="J22" s="10" t="s">
        <v>692</v>
      </c>
      <c r="K22" s="10" t="s">
        <v>219</v>
      </c>
      <c r="L22" s="11" t="s">
        <v>230</v>
      </c>
      <c r="M22" s="4">
        <v>8.1</v>
      </c>
      <c r="N22" s="4">
        <v>92</v>
      </c>
      <c r="O22" s="4">
        <v>4</v>
      </c>
      <c r="P22" s="22">
        <f t="shared" si="0"/>
        <v>8.4333333333333318</v>
      </c>
      <c r="Q22" s="22">
        <f t="shared" si="1"/>
        <v>8.6024999999999991</v>
      </c>
      <c r="R22" s="30">
        <f t="shared" si="2"/>
        <v>9</v>
      </c>
      <c r="S22" s="22">
        <f t="shared" si="3"/>
        <v>4.5</v>
      </c>
      <c r="T22" s="28">
        <v>45834</v>
      </c>
      <c r="U22" s="28" t="s">
        <v>805</v>
      </c>
      <c r="V22">
        <v>152</v>
      </c>
      <c r="W22" t="s">
        <v>964</v>
      </c>
      <c r="X22" t="s">
        <v>872</v>
      </c>
      <c r="Y22" s="10">
        <v>78</v>
      </c>
    </row>
    <row r="23" spans="1:25" x14ac:dyDescent="0.25">
      <c r="A23" s="4">
        <v>22</v>
      </c>
      <c r="B23" s="4" t="s">
        <v>777</v>
      </c>
      <c r="C23" s="31">
        <v>9.0399999999999991</v>
      </c>
      <c r="D23" s="4">
        <v>1995</v>
      </c>
      <c r="E23" s="5" t="s">
        <v>761</v>
      </c>
      <c r="F23" s="10" t="s">
        <v>980</v>
      </c>
      <c r="G23" s="10" t="s">
        <v>515</v>
      </c>
      <c r="H23" s="10" t="s">
        <v>979</v>
      </c>
      <c r="I23" s="10" t="s">
        <v>761</v>
      </c>
      <c r="J23" s="10" t="s">
        <v>236</v>
      </c>
      <c r="K23" s="10" t="s">
        <v>219</v>
      </c>
      <c r="L23" s="10" t="s">
        <v>230</v>
      </c>
      <c r="M23" s="4">
        <v>8.3000000000000007</v>
      </c>
      <c r="N23" s="4">
        <v>76</v>
      </c>
      <c r="O23" s="4">
        <v>3.9</v>
      </c>
      <c r="P23" s="22">
        <f t="shared" si="0"/>
        <v>7.8999999999999995</v>
      </c>
      <c r="Q23" s="22">
        <f t="shared" si="1"/>
        <v>8.1849999999999987</v>
      </c>
      <c r="R23" s="30">
        <f t="shared" si="2"/>
        <v>9</v>
      </c>
      <c r="S23" s="22">
        <f t="shared" si="3"/>
        <v>4.5</v>
      </c>
      <c r="T23" s="28">
        <v>46043</v>
      </c>
      <c r="U23" s="28" t="s">
        <v>805</v>
      </c>
      <c r="V23">
        <v>178</v>
      </c>
      <c r="W23" t="s">
        <v>964</v>
      </c>
      <c r="X23" t="s">
        <v>968</v>
      </c>
      <c r="Y23" s="25">
        <v>8.15</v>
      </c>
    </row>
    <row r="24" spans="1:25" x14ac:dyDescent="0.25">
      <c r="A24" s="4">
        <v>23</v>
      </c>
      <c r="B24" s="4" t="s">
        <v>67</v>
      </c>
      <c r="C24" s="31">
        <v>9.0299999999999994</v>
      </c>
      <c r="D24" s="4">
        <v>1998</v>
      </c>
      <c r="E24" s="5" t="s">
        <v>68</v>
      </c>
      <c r="F24" s="5" t="s">
        <v>21</v>
      </c>
      <c r="G24" s="5" t="s">
        <v>274</v>
      </c>
      <c r="H24" s="5" t="s">
        <v>275</v>
      </c>
      <c r="I24" s="5" t="s">
        <v>69</v>
      </c>
      <c r="J24" s="5" t="s">
        <v>236</v>
      </c>
      <c r="K24" s="5" t="s">
        <v>219</v>
      </c>
      <c r="L24" s="5" t="s">
        <v>715</v>
      </c>
      <c r="M24" s="4">
        <v>8.6</v>
      </c>
      <c r="N24" s="4">
        <v>93</v>
      </c>
      <c r="O24" s="4">
        <v>4.2</v>
      </c>
      <c r="P24" s="22">
        <f t="shared" si="0"/>
        <v>8.7666666666666657</v>
      </c>
      <c r="Q24" s="22">
        <f t="shared" si="1"/>
        <v>8.8324999999999996</v>
      </c>
      <c r="R24" s="30">
        <f t="shared" si="2"/>
        <v>9</v>
      </c>
      <c r="S24" s="22">
        <f t="shared" si="3"/>
        <v>4.5</v>
      </c>
      <c r="T24" s="28">
        <v>45896</v>
      </c>
      <c r="U24" s="28" t="s">
        <v>805</v>
      </c>
      <c r="V24">
        <v>169</v>
      </c>
      <c r="W24" t="s">
        <v>964</v>
      </c>
      <c r="X24" t="s">
        <v>967</v>
      </c>
      <c r="Y24" s="26" t="s">
        <v>184</v>
      </c>
    </row>
    <row r="25" spans="1:25" x14ac:dyDescent="0.25">
      <c r="A25" s="4">
        <v>24</v>
      </c>
      <c r="B25" s="4" t="s">
        <v>781</v>
      </c>
      <c r="C25" s="31">
        <v>9.02</v>
      </c>
      <c r="D25" s="4">
        <v>2006</v>
      </c>
      <c r="E25" s="5" t="s">
        <v>11</v>
      </c>
      <c r="F25" s="5" t="s">
        <v>12</v>
      </c>
      <c r="G25" s="5" t="s">
        <v>261</v>
      </c>
      <c r="H25" s="5" t="s">
        <v>262</v>
      </c>
      <c r="I25" s="5" t="s">
        <v>39</v>
      </c>
      <c r="J25" s="5" t="s">
        <v>229</v>
      </c>
      <c r="K25" s="5" t="s">
        <v>692</v>
      </c>
      <c r="M25" s="4">
        <v>6.6</v>
      </c>
      <c r="N25" s="4">
        <v>71</v>
      </c>
      <c r="O25" s="4">
        <v>3.3</v>
      </c>
      <c r="P25" s="22">
        <f t="shared" si="0"/>
        <v>6.7666666666666657</v>
      </c>
      <c r="Q25" s="22">
        <f t="shared" si="1"/>
        <v>7.33</v>
      </c>
      <c r="R25" s="30">
        <f t="shared" si="2"/>
        <v>9</v>
      </c>
      <c r="S25" s="22">
        <f t="shared" si="3"/>
        <v>4.5</v>
      </c>
      <c r="T25" s="28">
        <v>45910</v>
      </c>
      <c r="U25" s="28" t="s">
        <v>805</v>
      </c>
      <c r="V25">
        <v>108</v>
      </c>
      <c r="W25" t="s">
        <v>964</v>
      </c>
      <c r="X25" t="s">
        <v>872</v>
      </c>
      <c r="Y25" s="10">
        <v>112</v>
      </c>
    </row>
    <row r="26" spans="1:25" x14ac:dyDescent="0.25">
      <c r="A26" s="4">
        <v>25</v>
      </c>
      <c r="B26" s="4" t="s">
        <v>778</v>
      </c>
      <c r="C26" s="31">
        <v>9.01</v>
      </c>
      <c r="D26" s="4">
        <v>1974</v>
      </c>
      <c r="E26" s="5" t="s">
        <v>44</v>
      </c>
      <c r="F26" s="10" t="s">
        <v>518</v>
      </c>
      <c r="G26" s="10" t="s">
        <v>815</v>
      </c>
      <c r="H26" s="10" t="s">
        <v>32</v>
      </c>
      <c r="I26" s="10" t="s">
        <v>528</v>
      </c>
      <c r="J26" s="10" t="s">
        <v>225</v>
      </c>
      <c r="K26" s="10" t="s">
        <v>219</v>
      </c>
      <c r="L26" s="10" t="s">
        <v>717</v>
      </c>
      <c r="M26" s="4">
        <v>9</v>
      </c>
      <c r="N26" s="4">
        <v>96</v>
      </c>
      <c r="O26" s="4">
        <v>4.5999999999999996</v>
      </c>
      <c r="P26" s="22">
        <f t="shared" si="0"/>
        <v>9.2666666666666675</v>
      </c>
      <c r="Q26" s="22">
        <f t="shared" si="1"/>
        <v>9.2025000000000006</v>
      </c>
      <c r="R26" s="30">
        <f t="shared" si="2"/>
        <v>9</v>
      </c>
      <c r="S26" s="22">
        <f t="shared" si="3"/>
        <v>4.5</v>
      </c>
      <c r="T26" s="28">
        <v>45885</v>
      </c>
      <c r="U26" s="28" t="s">
        <v>805</v>
      </c>
      <c r="V26">
        <v>202</v>
      </c>
      <c r="W26" t="s">
        <v>964</v>
      </c>
      <c r="X26" t="s">
        <v>872</v>
      </c>
      <c r="Y26" s="25">
        <v>7.24</v>
      </c>
    </row>
    <row r="27" spans="1:25" x14ac:dyDescent="0.25">
      <c r="A27" s="4">
        <v>26</v>
      </c>
      <c r="B27" s="4" t="s">
        <v>385</v>
      </c>
      <c r="C27" s="31">
        <v>8.94</v>
      </c>
      <c r="D27" s="4">
        <v>1992</v>
      </c>
      <c r="E27" s="5" t="s">
        <v>9</v>
      </c>
      <c r="F27" s="10" t="s">
        <v>25</v>
      </c>
      <c r="G27" s="10" t="s">
        <v>386</v>
      </c>
      <c r="H27" s="10" t="s">
        <v>387</v>
      </c>
      <c r="I27" s="10" t="s">
        <v>388</v>
      </c>
      <c r="J27" s="10" t="s">
        <v>219</v>
      </c>
      <c r="K27" s="10" t="s">
        <v>227</v>
      </c>
      <c r="L27" s="10" t="s">
        <v>718</v>
      </c>
      <c r="M27" s="4">
        <v>7.7</v>
      </c>
      <c r="N27" s="4">
        <v>83</v>
      </c>
      <c r="O27" s="4">
        <v>4</v>
      </c>
      <c r="P27" s="22">
        <f t="shared" si="0"/>
        <v>8</v>
      </c>
      <c r="Q27" s="22">
        <f t="shared" si="1"/>
        <v>8.2349999999999994</v>
      </c>
      <c r="R27" s="30">
        <f t="shared" si="2"/>
        <v>8</v>
      </c>
      <c r="S27" s="22">
        <f t="shared" si="3"/>
        <v>4</v>
      </c>
      <c r="T27" s="28">
        <v>45789</v>
      </c>
      <c r="U27" s="28" t="s">
        <v>805</v>
      </c>
      <c r="V27">
        <v>138</v>
      </c>
      <c r="W27" t="s">
        <v>964</v>
      </c>
      <c r="X27" t="s">
        <v>872</v>
      </c>
      <c r="Y27" s="26" t="s">
        <v>596</v>
      </c>
    </row>
    <row r="28" spans="1:25" x14ac:dyDescent="0.25">
      <c r="A28" s="4">
        <v>27</v>
      </c>
      <c r="B28" s="4" t="s">
        <v>525</v>
      </c>
      <c r="C28" s="31">
        <v>8.93</v>
      </c>
      <c r="D28" s="4">
        <v>1972</v>
      </c>
      <c r="E28" s="10" t="s">
        <v>526</v>
      </c>
      <c r="F28" s="10" t="s">
        <v>44</v>
      </c>
      <c r="G28" s="10" t="s">
        <v>527</v>
      </c>
      <c r="H28" s="10" t="s">
        <v>518</v>
      </c>
      <c r="I28" s="10" t="s">
        <v>528</v>
      </c>
      <c r="J28" s="10" t="s">
        <v>225</v>
      </c>
      <c r="K28" s="10" t="s">
        <v>219</v>
      </c>
      <c r="L28" s="10" t="s">
        <v>717</v>
      </c>
      <c r="M28" s="4">
        <v>9.1999999999999993</v>
      </c>
      <c r="N28" s="4">
        <v>98</v>
      </c>
      <c r="O28" s="4">
        <v>4.5</v>
      </c>
      <c r="P28" s="22">
        <f t="shared" si="0"/>
        <v>9.3333333333333339</v>
      </c>
      <c r="Q28" s="22">
        <f t="shared" si="1"/>
        <v>9.2324999999999999</v>
      </c>
      <c r="R28" s="30">
        <f t="shared" si="2"/>
        <v>8</v>
      </c>
      <c r="S28" s="22">
        <f t="shared" si="3"/>
        <v>4</v>
      </c>
      <c r="T28" s="28">
        <v>45885</v>
      </c>
      <c r="U28" s="28" t="s">
        <v>805</v>
      </c>
      <c r="V28">
        <v>175</v>
      </c>
      <c r="W28" t="s">
        <v>964</v>
      </c>
      <c r="X28" t="s">
        <v>960</v>
      </c>
      <c r="Y28" s="10" t="s">
        <v>601</v>
      </c>
    </row>
    <row r="29" spans="1:25" x14ac:dyDescent="0.25">
      <c r="A29" s="4">
        <v>28</v>
      </c>
      <c r="B29" s="4" t="s">
        <v>54</v>
      </c>
      <c r="C29" s="31">
        <v>8.92</v>
      </c>
      <c r="D29" s="4">
        <v>1995</v>
      </c>
      <c r="E29" s="5" t="s">
        <v>56</v>
      </c>
      <c r="F29" s="5" t="s">
        <v>57</v>
      </c>
      <c r="G29" s="5" t="s">
        <v>58</v>
      </c>
      <c r="H29" s="5" t="s">
        <v>269</v>
      </c>
      <c r="I29" s="5" t="s">
        <v>59</v>
      </c>
      <c r="J29" s="5" t="s">
        <v>225</v>
      </c>
      <c r="K29" s="5" t="s">
        <v>219</v>
      </c>
      <c r="L29" s="5" t="s">
        <v>226</v>
      </c>
      <c r="M29" s="4">
        <v>8.6</v>
      </c>
      <c r="N29" s="4">
        <v>82</v>
      </c>
      <c r="O29" s="4">
        <v>4.4000000000000004</v>
      </c>
      <c r="P29" s="22">
        <f t="shared" si="0"/>
        <v>8.5333333333333332</v>
      </c>
      <c r="Q29" s="22">
        <f t="shared" si="1"/>
        <v>8.629999999999999</v>
      </c>
      <c r="R29" s="30">
        <f t="shared" si="2"/>
        <v>8</v>
      </c>
      <c r="S29" s="22">
        <f t="shared" si="3"/>
        <v>4</v>
      </c>
      <c r="T29" s="28">
        <v>44748</v>
      </c>
      <c r="U29" s="28" t="s">
        <v>805</v>
      </c>
      <c r="V29">
        <v>127</v>
      </c>
      <c r="W29" t="s">
        <v>964</v>
      </c>
      <c r="X29" t="s">
        <v>872</v>
      </c>
    </row>
    <row r="30" spans="1:25" x14ac:dyDescent="0.25">
      <c r="A30" s="4">
        <v>29</v>
      </c>
      <c r="B30" s="4" t="s">
        <v>43</v>
      </c>
      <c r="C30" s="31">
        <v>8.91</v>
      </c>
      <c r="D30" s="4">
        <v>1995</v>
      </c>
      <c r="E30" s="5" t="s">
        <v>32</v>
      </c>
      <c r="F30" s="5" t="s">
        <v>44</v>
      </c>
      <c r="G30" s="5" t="s">
        <v>10</v>
      </c>
      <c r="H30" s="5" t="s">
        <v>46</v>
      </c>
      <c r="I30" s="5" t="s">
        <v>45</v>
      </c>
      <c r="J30" s="5" t="s">
        <v>225</v>
      </c>
      <c r="K30" s="5" t="s">
        <v>219</v>
      </c>
      <c r="L30" s="5" t="s">
        <v>717</v>
      </c>
      <c r="M30" s="4">
        <v>8.3000000000000007</v>
      </c>
      <c r="N30" s="4">
        <v>88</v>
      </c>
      <c r="O30" s="4">
        <v>4.3</v>
      </c>
      <c r="P30" s="22">
        <f t="shared" si="0"/>
        <v>8.5666666666666682</v>
      </c>
      <c r="Q30" s="22">
        <f t="shared" si="1"/>
        <v>8.6524999999999999</v>
      </c>
      <c r="R30" s="30">
        <f t="shared" si="2"/>
        <v>8</v>
      </c>
      <c r="S30" s="22">
        <f t="shared" si="3"/>
        <v>4</v>
      </c>
      <c r="T30" s="28">
        <v>45898</v>
      </c>
      <c r="U30" s="28" t="s">
        <v>805</v>
      </c>
      <c r="V30">
        <v>170</v>
      </c>
      <c r="W30" t="s">
        <v>964</v>
      </c>
      <c r="X30" t="s">
        <v>872</v>
      </c>
    </row>
    <row r="31" spans="1:25" x14ac:dyDescent="0.25">
      <c r="A31" s="4">
        <v>30</v>
      </c>
      <c r="B31" s="4" t="s">
        <v>564</v>
      </c>
      <c r="C31" s="31">
        <v>8.84</v>
      </c>
      <c r="D31" s="4">
        <v>2023</v>
      </c>
      <c r="E31" s="10" t="s">
        <v>9</v>
      </c>
      <c r="F31" s="10" t="s">
        <v>566</v>
      </c>
      <c r="G31" s="10" t="s">
        <v>286</v>
      </c>
      <c r="H31" s="10" t="s">
        <v>87</v>
      </c>
      <c r="I31" s="10" t="s">
        <v>397</v>
      </c>
      <c r="J31" s="10" t="s">
        <v>218</v>
      </c>
      <c r="K31" s="10" t="s">
        <v>227</v>
      </c>
      <c r="L31" s="10" t="s">
        <v>232</v>
      </c>
      <c r="M31" s="4">
        <v>7.7</v>
      </c>
      <c r="N31" s="4">
        <v>96</v>
      </c>
      <c r="O31" s="4">
        <v>3.7</v>
      </c>
      <c r="P31" s="22">
        <f t="shared" si="0"/>
        <v>8.2333333333333343</v>
      </c>
      <c r="Q31" s="22">
        <f t="shared" si="1"/>
        <v>8.3849999999999998</v>
      </c>
      <c r="R31" s="30">
        <f t="shared" si="2"/>
        <v>8</v>
      </c>
      <c r="S31" s="22">
        <f t="shared" si="3"/>
        <v>4</v>
      </c>
      <c r="T31" s="28">
        <v>45370</v>
      </c>
      <c r="U31" s="28" t="s">
        <v>805</v>
      </c>
      <c r="V31">
        <v>163</v>
      </c>
      <c r="W31" t="s">
        <v>964</v>
      </c>
      <c r="X31" t="s">
        <v>872</v>
      </c>
    </row>
    <row r="32" spans="1:25" x14ac:dyDescent="0.25">
      <c r="A32" s="4">
        <v>31</v>
      </c>
      <c r="B32" s="4" t="s">
        <v>568</v>
      </c>
      <c r="C32" s="31">
        <v>8.83</v>
      </c>
      <c r="D32" s="4">
        <v>2015</v>
      </c>
      <c r="E32" s="10" t="s">
        <v>9</v>
      </c>
      <c r="F32" s="10" t="s">
        <v>396</v>
      </c>
      <c r="G32" s="10" t="s">
        <v>286</v>
      </c>
      <c r="H32" s="10" t="s">
        <v>153</v>
      </c>
      <c r="I32" s="10" t="s">
        <v>397</v>
      </c>
      <c r="J32" s="10" t="s">
        <v>218</v>
      </c>
      <c r="K32" s="10" t="s">
        <v>227</v>
      </c>
      <c r="L32" s="10" t="s">
        <v>232</v>
      </c>
      <c r="M32" s="4">
        <v>7.4</v>
      </c>
      <c r="N32" s="4">
        <v>97</v>
      </c>
      <c r="O32" s="4">
        <v>3.8</v>
      </c>
      <c r="P32" s="22">
        <f t="shared" si="0"/>
        <v>8.2333333333333343</v>
      </c>
      <c r="Q32" s="22">
        <f t="shared" si="1"/>
        <v>8.3825000000000003</v>
      </c>
      <c r="R32" s="30">
        <f t="shared" si="2"/>
        <v>8</v>
      </c>
      <c r="S32" s="22">
        <f t="shared" si="3"/>
        <v>4</v>
      </c>
      <c r="T32" s="28">
        <v>46046</v>
      </c>
      <c r="U32" s="28" t="s">
        <v>805</v>
      </c>
      <c r="V32">
        <v>131</v>
      </c>
      <c r="W32" t="s">
        <v>975</v>
      </c>
      <c r="X32" t="s">
        <v>967</v>
      </c>
    </row>
    <row r="33" spans="1:24" x14ac:dyDescent="0.25">
      <c r="A33" s="4">
        <v>32</v>
      </c>
      <c r="B33" s="4" t="s">
        <v>28</v>
      </c>
      <c r="C33" s="31">
        <v>8.81</v>
      </c>
      <c r="D33" s="4">
        <v>2008</v>
      </c>
      <c r="E33" s="5" t="s">
        <v>11</v>
      </c>
      <c r="F33" s="5" t="s">
        <v>12</v>
      </c>
      <c r="G33" s="5" t="s">
        <v>284</v>
      </c>
      <c r="H33" s="5" t="s">
        <v>285</v>
      </c>
      <c r="I33" s="5" t="s">
        <v>39</v>
      </c>
      <c r="J33" s="5" t="s">
        <v>229</v>
      </c>
      <c r="M33" s="4">
        <v>6.9</v>
      </c>
      <c r="N33" s="4">
        <v>55</v>
      </c>
      <c r="O33" s="4">
        <v>3.5</v>
      </c>
      <c r="P33" s="22">
        <f t="shared" si="0"/>
        <v>6.4666666666666659</v>
      </c>
      <c r="Q33" s="22">
        <f t="shared" si="1"/>
        <v>7.0525000000000002</v>
      </c>
      <c r="R33" s="30">
        <f t="shared" si="2"/>
        <v>8</v>
      </c>
      <c r="S33" s="22">
        <f t="shared" si="3"/>
        <v>4</v>
      </c>
      <c r="T33" s="28">
        <v>45912</v>
      </c>
      <c r="U33" s="28" t="s">
        <v>805</v>
      </c>
      <c r="V33">
        <v>98</v>
      </c>
      <c r="W33" t="s">
        <v>969</v>
      </c>
      <c r="X33" t="s">
        <v>967</v>
      </c>
    </row>
    <row r="34" spans="1:24" x14ac:dyDescent="0.25">
      <c r="A34" s="4">
        <v>33</v>
      </c>
      <c r="B34" s="4" t="s">
        <v>517</v>
      </c>
      <c r="C34" s="31">
        <v>8.73</v>
      </c>
      <c r="D34" s="4">
        <v>1990</v>
      </c>
      <c r="E34" s="5" t="s">
        <v>9</v>
      </c>
      <c r="F34" s="10" t="s">
        <v>518</v>
      </c>
      <c r="G34" s="10" t="s">
        <v>359</v>
      </c>
      <c r="H34" s="10" t="s">
        <v>519</v>
      </c>
      <c r="I34" s="10" t="s">
        <v>42</v>
      </c>
      <c r="J34" s="10" t="s">
        <v>692</v>
      </c>
      <c r="K34" s="10" t="s">
        <v>218</v>
      </c>
      <c r="L34" s="10" t="s">
        <v>219</v>
      </c>
      <c r="M34" s="4">
        <v>6.1</v>
      </c>
      <c r="N34" s="4">
        <v>38</v>
      </c>
      <c r="O34" s="4">
        <v>3.1</v>
      </c>
      <c r="P34" s="22">
        <f t="shared" ref="P34:P65" si="4">(M34+(N34/10)+(O34*2))/3</f>
        <v>5.3666666666666663</v>
      </c>
      <c r="Q34" s="22">
        <f t="shared" ref="Q34:Q65" si="5">(M34+C34+(N34/10)+(O34*2))/4</f>
        <v>6.2074999999999996</v>
      </c>
      <c r="R34" s="30">
        <f t="shared" ref="R34:R65" si="6">IF(C34&gt;=9.5,10,
IF(C34&gt;=9,9,
IF(C34&gt;=8,8,
IF(C34&gt;=7,7,
IF(C34&gt;=6,6,
IF(C34&gt;=5,5,
IF(C34&gt;=4,4,
IF(C34&gt;=3,3,
IF(C34&gt;=1.5,2,
IF(C34&gt;=0,1,""))))))))))</f>
        <v>8</v>
      </c>
      <c r="S34" s="22">
        <f t="shared" ref="S34:S65" si="7">IF(C34&gt;=9.5,5,
IF(C34&gt;=9,4.5,
IF(C34&gt;=8,4,
IF(C34&gt;=7,3.5,
IF(C34&gt;=6,3,
IF(C34&gt;=5,2.5,
IF(C34&gt;=4,2,
IF(C34&gt;=3,1.5,
IF(C34&gt;=1.5,1,
IF(C34&gt;=0,0.5,""))))))))))</f>
        <v>4</v>
      </c>
      <c r="T34" s="28">
        <v>45806</v>
      </c>
      <c r="U34" s="28" t="s">
        <v>805</v>
      </c>
      <c r="V34">
        <v>107</v>
      </c>
      <c r="W34" t="s">
        <v>964</v>
      </c>
      <c r="X34" t="s">
        <v>960</v>
      </c>
    </row>
    <row r="35" spans="1:24" x14ac:dyDescent="0.25">
      <c r="A35" s="4">
        <v>34</v>
      </c>
      <c r="B35" s="4" t="s">
        <v>7</v>
      </c>
      <c r="C35" s="31">
        <v>8.7200000000000006</v>
      </c>
      <c r="D35" s="4">
        <v>1986</v>
      </c>
      <c r="E35" s="5" t="s">
        <v>9</v>
      </c>
      <c r="F35" s="5" t="s">
        <v>10</v>
      </c>
      <c r="G35" s="5" t="s">
        <v>267</v>
      </c>
      <c r="H35" s="5" t="s">
        <v>30</v>
      </c>
      <c r="I35" s="5" t="s">
        <v>42</v>
      </c>
      <c r="J35" s="5" t="s">
        <v>218</v>
      </c>
      <c r="K35" s="5" t="s">
        <v>219</v>
      </c>
      <c r="L35" s="5" t="s">
        <v>236</v>
      </c>
      <c r="M35" s="4">
        <v>6.9</v>
      </c>
      <c r="N35" s="4">
        <v>54</v>
      </c>
      <c r="O35" s="4">
        <v>3.5</v>
      </c>
      <c r="P35" s="22">
        <f t="shared" si="4"/>
        <v>6.4333333333333336</v>
      </c>
      <c r="Q35" s="22">
        <f t="shared" si="5"/>
        <v>7.0050000000000008</v>
      </c>
      <c r="R35" s="30">
        <f t="shared" si="6"/>
        <v>8</v>
      </c>
      <c r="S35" s="22">
        <f t="shared" si="7"/>
        <v>4</v>
      </c>
      <c r="T35" s="28">
        <v>44714</v>
      </c>
      <c r="U35" s="28" t="s">
        <v>805</v>
      </c>
      <c r="V35">
        <v>109</v>
      </c>
      <c r="W35" t="s">
        <v>964</v>
      </c>
      <c r="X35" t="s">
        <v>872</v>
      </c>
    </row>
    <row r="36" spans="1:24" x14ac:dyDescent="0.25">
      <c r="A36" s="4">
        <v>35</v>
      </c>
      <c r="B36" s="4" t="s">
        <v>81</v>
      </c>
      <c r="C36" s="31">
        <v>8.7100000000000009</v>
      </c>
      <c r="D36" s="4">
        <v>2006</v>
      </c>
      <c r="E36" s="5" t="s">
        <v>82</v>
      </c>
      <c r="F36" s="10" t="s">
        <v>83</v>
      </c>
      <c r="G36" s="10" t="s">
        <v>307</v>
      </c>
      <c r="H36" s="10" t="s">
        <v>308</v>
      </c>
      <c r="I36" s="5" t="s">
        <v>84</v>
      </c>
      <c r="J36" s="10" t="s">
        <v>218</v>
      </c>
      <c r="K36" s="10" t="s">
        <v>227</v>
      </c>
      <c r="L36" s="10" t="s">
        <v>232</v>
      </c>
      <c r="M36" s="4">
        <v>8</v>
      </c>
      <c r="N36" s="4">
        <v>94</v>
      </c>
      <c r="O36" s="4">
        <v>4</v>
      </c>
      <c r="P36" s="22">
        <f t="shared" si="4"/>
        <v>8.4666666666666668</v>
      </c>
      <c r="Q36" s="22">
        <f t="shared" si="5"/>
        <v>8.5274999999999999</v>
      </c>
      <c r="R36" s="30">
        <f t="shared" si="6"/>
        <v>8</v>
      </c>
      <c r="S36" s="22">
        <f t="shared" si="7"/>
        <v>4</v>
      </c>
      <c r="T36" s="28">
        <v>44742</v>
      </c>
      <c r="U36" s="28" t="s">
        <v>805</v>
      </c>
      <c r="V36">
        <v>144</v>
      </c>
      <c r="W36" t="s">
        <v>964</v>
      </c>
      <c r="X36" t="s">
        <v>872</v>
      </c>
    </row>
    <row r="37" spans="1:24" x14ac:dyDescent="0.25">
      <c r="A37" s="4">
        <v>36</v>
      </c>
      <c r="B37" s="4" t="s">
        <v>895</v>
      </c>
      <c r="C37" s="31">
        <v>8.6300000000000008</v>
      </c>
      <c r="D37" s="4">
        <v>2025</v>
      </c>
      <c r="E37" s="10" t="s">
        <v>57</v>
      </c>
      <c r="F37" s="10" t="s">
        <v>953</v>
      </c>
      <c r="G37" s="10" t="s">
        <v>952</v>
      </c>
      <c r="H37" s="10" t="s">
        <v>491</v>
      </c>
      <c r="I37" s="10" t="s">
        <v>38</v>
      </c>
      <c r="J37" s="10" t="s">
        <v>692</v>
      </c>
      <c r="K37" s="10" t="s">
        <v>219</v>
      </c>
      <c r="L37" s="10" t="s">
        <v>218</v>
      </c>
      <c r="M37" s="4">
        <v>7.7</v>
      </c>
      <c r="N37" s="4">
        <v>82</v>
      </c>
      <c r="O37" s="4">
        <v>3.7</v>
      </c>
      <c r="P37" s="22">
        <f t="shared" si="4"/>
        <v>7.7666666666666657</v>
      </c>
      <c r="Q37" s="22">
        <f t="shared" si="5"/>
        <v>7.9824999999999999</v>
      </c>
      <c r="R37" s="30">
        <f t="shared" si="6"/>
        <v>8</v>
      </c>
      <c r="S37" s="22">
        <f t="shared" si="7"/>
        <v>4</v>
      </c>
      <c r="T37" s="28">
        <v>46025</v>
      </c>
      <c r="U37" s="28" t="s">
        <v>805</v>
      </c>
      <c r="V37">
        <v>155</v>
      </c>
      <c r="W37" t="s">
        <v>964</v>
      </c>
      <c r="X37" t="s">
        <v>960</v>
      </c>
    </row>
    <row r="38" spans="1:24" x14ac:dyDescent="0.25">
      <c r="A38" s="4">
        <v>37</v>
      </c>
      <c r="B38" s="4" t="s">
        <v>645</v>
      </c>
      <c r="C38" s="31">
        <v>8.6199999999999992</v>
      </c>
      <c r="D38" s="4">
        <v>2000</v>
      </c>
      <c r="E38" s="5" t="s">
        <v>556</v>
      </c>
      <c r="F38" s="10" t="s">
        <v>539</v>
      </c>
      <c r="G38" s="10" t="s">
        <v>646</v>
      </c>
      <c r="H38" s="10" t="s">
        <v>647</v>
      </c>
      <c r="I38" s="10" t="s">
        <v>542</v>
      </c>
      <c r="J38" s="10" t="s">
        <v>218</v>
      </c>
      <c r="K38" s="10" t="s">
        <v>232</v>
      </c>
      <c r="L38" s="10" t="s">
        <v>219</v>
      </c>
      <c r="M38" s="4">
        <v>8.5</v>
      </c>
      <c r="N38" s="4">
        <v>80</v>
      </c>
      <c r="O38" s="4">
        <v>4.2</v>
      </c>
      <c r="P38" s="22">
        <f t="shared" si="4"/>
        <v>8.2999999999999989</v>
      </c>
      <c r="Q38" s="22">
        <f t="shared" si="5"/>
        <v>8.379999999999999</v>
      </c>
      <c r="R38" s="30">
        <f t="shared" si="6"/>
        <v>8</v>
      </c>
      <c r="S38" s="22">
        <f t="shared" si="7"/>
        <v>4</v>
      </c>
      <c r="T38" s="28">
        <v>45483</v>
      </c>
      <c r="U38" s="28" t="s">
        <v>805</v>
      </c>
      <c r="V38">
        <v>155</v>
      </c>
      <c r="W38" t="s">
        <v>964</v>
      </c>
      <c r="X38" t="s">
        <v>872</v>
      </c>
    </row>
    <row r="39" spans="1:24" x14ac:dyDescent="0.25">
      <c r="A39" s="4">
        <v>38</v>
      </c>
      <c r="B39" s="4" t="s">
        <v>555</v>
      </c>
      <c r="C39" s="31">
        <v>8.61</v>
      </c>
      <c r="D39" s="4">
        <v>1997</v>
      </c>
      <c r="E39" s="5" t="s">
        <v>556</v>
      </c>
      <c r="F39" s="10" t="s">
        <v>457</v>
      </c>
      <c r="G39" s="10" t="s">
        <v>58</v>
      </c>
      <c r="H39" s="10" t="s">
        <v>557</v>
      </c>
      <c r="I39" s="10" t="s">
        <v>558</v>
      </c>
      <c r="J39" s="10" t="s">
        <v>225</v>
      </c>
      <c r="K39" s="10" t="s">
        <v>219</v>
      </c>
      <c r="L39" s="10" t="s">
        <v>226</v>
      </c>
      <c r="M39" s="4">
        <v>8.1999999999999993</v>
      </c>
      <c r="N39" s="4">
        <v>99</v>
      </c>
      <c r="O39" s="4">
        <v>4.0999999999999996</v>
      </c>
      <c r="P39" s="22">
        <f t="shared" si="4"/>
        <v>8.7666666666666675</v>
      </c>
      <c r="Q39" s="22">
        <f t="shared" si="5"/>
        <v>8.7274999999999991</v>
      </c>
      <c r="R39" s="30">
        <f t="shared" si="6"/>
        <v>8</v>
      </c>
      <c r="S39" s="22">
        <f t="shared" si="7"/>
        <v>4</v>
      </c>
      <c r="T39" s="28">
        <v>45331</v>
      </c>
      <c r="U39" s="28" t="s">
        <v>805</v>
      </c>
      <c r="V39">
        <v>138</v>
      </c>
      <c r="W39" t="s">
        <v>964</v>
      </c>
      <c r="X39" t="s">
        <v>872</v>
      </c>
    </row>
    <row r="40" spans="1:24" x14ac:dyDescent="0.25">
      <c r="A40" s="4">
        <v>39</v>
      </c>
      <c r="B40" s="4" t="s">
        <v>621</v>
      </c>
      <c r="C40" s="31">
        <v>8.5299999999999994</v>
      </c>
      <c r="D40" s="4">
        <v>2001</v>
      </c>
      <c r="E40" s="10" t="s">
        <v>622</v>
      </c>
      <c r="F40" s="10" t="s">
        <v>57</v>
      </c>
      <c r="G40" s="10" t="s">
        <v>21</v>
      </c>
      <c r="H40" s="10" t="s">
        <v>623</v>
      </c>
      <c r="I40" s="10" t="s">
        <v>624</v>
      </c>
      <c r="J40" s="10" t="s">
        <v>225</v>
      </c>
      <c r="K40" s="10" t="s">
        <v>227</v>
      </c>
      <c r="L40" s="10"/>
      <c r="M40" s="4">
        <v>7.7</v>
      </c>
      <c r="N40" s="4">
        <v>83</v>
      </c>
      <c r="O40" s="4">
        <v>3.9</v>
      </c>
      <c r="P40" s="22">
        <f t="shared" si="4"/>
        <v>7.9333333333333336</v>
      </c>
      <c r="Q40" s="22">
        <f t="shared" si="5"/>
        <v>8.0824999999999996</v>
      </c>
      <c r="R40" s="30">
        <f t="shared" si="6"/>
        <v>8</v>
      </c>
      <c r="S40" s="22">
        <f t="shared" si="7"/>
        <v>4</v>
      </c>
      <c r="T40" s="28">
        <v>45431</v>
      </c>
      <c r="U40" s="28" t="s">
        <v>805</v>
      </c>
      <c r="V40">
        <v>116</v>
      </c>
      <c r="W40" t="s">
        <v>964</v>
      </c>
      <c r="X40" t="s">
        <v>872</v>
      </c>
    </row>
    <row r="41" spans="1:24" x14ac:dyDescent="0.25">
      <c r="A41" s="4">
        <v>40</v>
      </c>
      <c r="B41" s="4" t="s">
        <v>244</v>
      </c>
      <c r="C41" s="31">
        <v>8.52</v>
      </c>
      <c r="D41" s="4">
        <v>1998</v>
      </c>
      <c r="E41" s="10" t="s">
        <v>21</v>
      </c>
      <c r="F41" s="10" t="s">
        <v>245</v>
      </c>
      <c r="G41" s="10" t="s">
        <v>246</v>
      </c>
      <c r="H41" s="10" t="s">
        <v>247</v>
      </c>
      <c r="I41" s="10" t="s">
        <v>248</v>
      </c>
      <c r="J41" s="5" t="s">
        <v>626</v>
      </c>
      <c r="K41" s="10" t="s">
        <v>225</v>
      </c>
      <c r="L41" s="10" t="s">
        <v>219</v>
      </c>
      <c r="M41" s="4">
        <v>7.3</v>
      </c>
      <c r="N41" s="4">
        <v>65</v>
      </c>
      <c r="O41" s="4">
        <v>3.6</v>
      </c>
      <c r="P41" s="22">
        <f t="shared" si="4"/>
        <v>7</v>
      </c>
      <c r="Q41" s="22">
        <f t="shared" si="5"/>
        <v>7.38</v>
      </c>
      <c r="R41" s="30">
        <f t="shared" si="6"/>
        <v>8</v>
      </c>
      <c r="S41" s="22">
        <f t="shared" si="7"/>
        <v>4</v>
      </c>
      <c r="T41" s="28">
        <v>45806</v>
      </c>
      <c r="U41" s="28" t="s">
        <v>805</v>
      </c>
      <c r="V41">
        <v>121</v>
      </c>
      <c r="W41" t="s">
        <v>964</v>
      </c>
      <c r="X41" t="s">
        <v>872</v>
      </c>
    </row>
    <row r="42" spans="1:24" x14ac:dyDescent="0.25">
      <c r="A42" s="4">
        <v>41</v>
      </c>
      <c r="B42" s="4" t="s">
        <v>70</v>
      </c>
      <c r="C42" s="31">
        <v>8.51</v>
      </c>
      <c r="D42" s="4">
        <v>2017</v>
      </c>
      <c r="E42" s="5" t="s">
        <v>71</v>
      </c>
      <c r="F42" s="5" t="s">
        <v>72</v>
      </c>
      <c r="G42" s="5" t="s">
        <v>281</v>
      </c>
      <c r="H42" s="5" t="s">
        <v>75</v>
      </c>
      <c r="I42" s="5" t="s">
        <v>73</v>
      </c>
      <c r="J42" s="5" t="s">
        <v>626</v>
      </c>
      <c r="K42" s="5" t="s">
        <v>225</v>
      </c>
      <c r="L42" s="5" t="s">
        <v>219</v>
      </c>
      <c r="M42" s="4">
        <v>7.4</v>
      </c>
      <c r="N42" s="4">
        <v>81</v>
      </c>
      <c r="O42" s="4">
        <v>3.6</v>
      </c>
      <c r="P42" s="22">
        <f t="shared" si="4"/>
        <v>7.5666666666666664</v>
      </c>
      <c r="Q42" s="22">
        <f t="shared" si="5"/>
        <v>7.8024999999999993</v>
      </c>
      <c r="R42" s="30">
        <f t="shared" si="6"/>
        <v>8</v>
      </c>
      <c r="S42" s="22">
        <f t="shared" si="7"/>
        <v>4</v>
      </c>
      <c r="T42" s="28">
        <v>44770</v>
      </c>
      <c r="U42" s="28" t="s">
        <v>805</v>
      </c>
      <c r="V42">
        <v>140</v>
      </c>
      <c r="W42" t="s">
        <v>964</v>
      </c>
      <c r="X42" t="s">
        <v>974</v>
      </c>
    </row>
    <row r="43" spans="1:24" x14ac:dyDescent="0.25">
      <c r="A43" s="4">
        <v>42</v>
      </c>
      <c r="B43" s="4" t="s">
        <v>19</v>
      </c>
      <c r="C43" s="31">
        <v>8.43</v>
      </c>
      <c r="D43" s="4">
        <v>2010</v>
      </c>
      <c r="E43" s="5" t="s">
        <v>14</v>
      </c>
      <c r="F43" s="5" t="s">
        <v>276</v>
      </c>
      <c r="G43" s="5" t="s">
        <v>277</v>
      </c>
      <c r="H43" s="5" t="s">
        <v>278</v>
      </c>
      <c r="I43" s="5" t="s">
        <v>41</v>
      </c>
      <c r="J43" t="s">
        <v>218</v>
      </c>
      <c r="K43" s="10" t="s">
        <v>233</v>
      </c>
      <c r="L43" s="10" t="s">
        <v>232</v>
      </c>
      <c r="M43" s="4">
        <v>8.8000000000000007</v>
      </c>
      <c r="N43" s="4">
        <v>87</v>
      </c>
      <c r="O43" s="4">
        <v>4.2</v>
      </c>
      <c r="P43" s="22">
        <f t="shared" si="4"/>
        <v>8.6333333333333329</v>
      </c>
      <c r="Q43" s="22">
        <f t="shared" si="5"/>
        <v>8.5824999999999996</v>
      </c>
      <c r="R43" s="30">
        <f t="shared" si="6"/>
        <v>8</v>
      </c>
      <c r="S43" s="22">
        <f t="shared" si="7"/>
        <v>4</v>
      </c>
      <c r="T43" s="28">
        <v>44721</v>
      </c>
      <c r="U43" s="28" t="s">
        <v>805</v>
      </c>
      <c r="V43">
        <v>148</v>
      </c>
      <c r="W43" t="s">
        <v>964</v>
      </c>
      <c r="X43" t="s">
        <v>872</v>
      </c>
    </row>
    <row r="44" spans="1:24" x14ac:dyDescent="0.25">
      <c r="A44" s="4">
        <v>43</v>
      </c>
      <c r="B44" s="4" t="s">
        <v>697</v>
      </c>
      <c r="C44" s="31">
        <v>8.42</v>
      </c>
      <c r="D44" s="4">
        <v>2024</v>
      </c>
      <c r="E44" s="10" t="s">
        <v>698</v>
      </c>
      <c r="F44" s="10" t="s">
        <v>416</v>
      </c>
      <c r="G44" s="10" t="s">
        <v>699</v>
      </c>
      <c r="H44" s="10" t="s">
        <v>702</v>
      </c>
      <c r="I44" s="10" t="s">
        <v>701</v>
      </c>
      <c r="J44" s="10" t="s">
        <v>218</v>
      </c>
      <c r="K44" s="10" t="s">
        <v>232</v>
      </c>
      <c r="L44" s="10" t="s">
        <v>227</v>
      </c>
      <c r="M44" s="4">
        <v>6.5</v>
      </c>
      <c r="N44" s="4">
        <v>75</v>
      </c>
      <c r="O44" s="4">
        <v>3.3</v>
      </c>
      <c r="P44" s="22">
        <f t="shared" si="4"/>
        <v>6.8666666666666671</v>
      </c>
      <c r="Q44" s="22">
        <f t="shared" si="5"/>
        <v>7.2550000000000008</v>
      </c>
      <c r="R44" s="30">
        <f t="shared" si="6"/>
        <v>8</v>
      </c>
      <c r="S44" s="22">
        <f t="shared" si="7"/>
        <v>4</v>
      </c>
      <c r="T44" s="28">
        <v>45658</v>
      </c>
      <c r="U44" s="28" t="s">
        <v>805</v>
      </c>
      <c r="V44">
        <v>122</v>
      </c>
      <c r="W44" t="s">
        <v>972</v>
      </c>
      <c r="X44" t="s">
        <v>973</v>
      </c>
    </row>
    <row r="45" spans="1:24" x14ac:dyDescent="0.25">
      <c r="A45" s="4">
        <v>44</v>
      </c>
      <c r="B45" s="4" t="s">
        <v>254</v>
      </c>
      <c r="C45" s="31">
        <v>8.41</v>
      </c>
      <c r="D45" s="4">
        <v>2014</v>
      </c>
      <c r="E45" s="5" t="s">
        <v>29</v>
      </c>
      <c r="F45" s="10" t="s">
        <v>255</v>
      </c>
      <c r="G45" s="10" t="s">
        <v>256</v>
      </c>
      <c r="H45" s="10" t="s">
        <v>257</v>
      </c>
      <c r="I45" s="10" t="s">
        <v>258</v>
      </c>
      <c r="J45" s="10" t="s">
        <v>259</v>
      </c>
      <c r="K45" s="10" t="s">
        <v>219</v>
      </c>
      <c r="M45" s="4">
        <v>8.5</v>
      </c>
      <c r="N45" s="4">
        <v>94</v>
      </c>
      <c r="O45" s="4">
        <v>4.4000000000000004</v>
      </c>
      <c r="P45" s="22">
        <f t="shared" si="4"/>
        <v>8.9</v>
      </c>
      <c r="Q45" s="22">
        <f t="shared" si="5"/>
        <v>8.7774999999999999</v>
      </c>
      <c r="R45" s="30">
        <f t="shared" si="6"/>
        <v>8</v>
      </c>
      <c r="S45" s="22">
        <f t="shared" si="7"/>
        <v>4</v>
      </c>
      <c r="T45" s="28">
        <v>46041</v>
      </c>
      <c r="U45" s="28" t="s">
        <v>805</v>
      </c>
      <c r="V45">
        <v>106</v>
      </c>
      <c r="W45" t="s">
        <v>971</v>
      </c>
      <c r="X45" t="s">
        <v>967</v>
      </c>
    </row>
    <row r="46" spans="1:24" x14ac:dyDescent="0.25">
      <c r="A46" s="4">
        <v>45</v>
      </c>
      <c r="B46" s="4" t="s">
        <v>470</v>
      </c>
      <c r="C46" s="31">
        <v>8.33</v>
      </c>
      <c r="D46" s="4">
        <v>1995</v>
      </c>
      <c r="E46" s="5" t="s">
        <v>32</v>
      </c>
      <c r="F46" s="10" t="s">
        <v>34</v>
      </c>
      <c r="G46" s="10" t="s">
        <v>472</v>
      </c>
      <c r="H46" s="10" t="s">
        <v>473</v>
      </c>
      <c r="I46" s="10" t="s">
        <v>37</v>
      </c>
      <c r="J46" s="10" t="s">
        <v>225</v>
      </c>
      <c r="K46" s="10" t="s">
        <v>219</v>
      </c>
      <c r="L46" s="10" t="s">
        <v>717</v>
      </c>
      <c r="M46" s="4">
        <v>8.1999999999999993</v>
      </c>
      <c r="N46" s="4">
        <v>80</v>
      </c>
      <c r="O46" s="4">
        <v>4.2</v>
      </c>
      <c r="P46" s="22">
        <f t="shared" si="4"/>
        <v>8.2000000000000011</v>
      </c>
      <c r="Q46" s="22">
        <f t="shared" si="5"/>
        <v>8.2324999999999999</v>
      </c>
      <c r="R46" s="30">
        <f t="shared" si="6"/>
        <v>8</v>
      </c>
      <c r="S46" s="22">
        <f t="shared" si="7"/>
        <v>4</v>
      </c>
      <c r="T46" s="28">
        <v>45718</v>
      </c>
      <c r="U46" s="28" t="s">
        <v>805</v>
      </c>
      <c r="V46">
        <v>178</v>
      </c>
      <c r="W46" t="s">
        <v>964</v>
      </c>
      <c r="X46" t="s">
        <v>872</v>
      </c>
    </row>
    <row r="47" spans="1:24" x14ac:dyDescent="0.25">
      <c r="A47" s="4">
        <v>46</v>
      </c>
      <c r="B47" s="4" t="s">
        <v>603</v>
      </c>
      <c r="C47" s="31">
        <v>8.32</v>
      </c>
      <c r="D47" s="4">
        <v>1999</v>
      </c>
      <c r="E47" s="5" t="s">
        <v>57</v>
      </c>
      <c r="F47" s="10" t="s">
        <v>245</v>
      </c>
      <c r="G47" s="10" t="s">
        <v>604</v>
      </c>
      <c r="H47" s="10" t="s">
        <v>605</v>
      </c>
      <c r="I47" s="10" t="s">
        <v>59</v>
      </c>
      <c r="J47" s="10" t="s">
        <v>219</v>
      </c>
      <c r="M47" s="4">
        <v>8.8000000000000007</v>
      </c>
      <c r="N47" s="4">
        <v>79</v>
      </c>
      <c r="O47" s="4">
        <v>4.3</v>
      </c>
      <c r="P47" s="22">
        <f t="shared" si="4"/>
        <v>8.4333333333333353</v>
      </c>
      <c r="Q47" s="22">
        <f t="shared" si="5"/>
        <v>8.4050000000000011</v>
      </c>
      <c r="R47" s="30">
        <f t="shared" si="6"/>
        <v>8</v>
      </c>
      <c r="S47" s="22">
        <f t="shared" si="7"/>
        <v>4</v>
      </c>
      <c r="T47" s="28">
        <v>44822</v>
      </c>
      <c r="U47" s="28" t="s">
        <v>805</v>
      </c>
      <c r="V47">
        <v>139</v>
      </c>
      <c r="W47" t="s">
        <v>964</v>
      </c>
      <c r="X47" t="s">
        <v>872</v>
      </c>
    </row>
    <row r="48" spans="1:24" x14ac:dyDescent="0.25">
      <c r="A48" s="4">
        <v>47</v>
      </c>
      <c r="B48" s="4" t="s">
        <v>808</v>
      </c>
      <c r="C48" s="31">
        <v>8.31</v>
      </c>
      <c r="D48" s="4">
        <v>2004</v>
      </c>
      <c r="E48" s="10" t="s">
        <v>273</v>
      </c>
      <c r="F48" s="10" t="s">
        <v>846</v>
      </c>
      <c r="G48" s="10" t="s">
        <v>430</v>
      </c>
      <c r="H48" s="10" t="s">
        <v>845</v>
      </c>
      <c r="I48" s="10" t="s">
        <v>66</v>
      </c>
      <c r="J48" s="10" t="s">
        <v>218</v>
      </c>
      <c r="K48" s="10" t="s">
        <v>225</v>
      </c>
      <c r="L48" s="10" t="s">
        <v>227</v>
      </c>
      <c r="M48" s="4">
        <v>8.1</v>
      </c>
      <c r="N48" s="4">
        <v>84</v>
      </c>
      <c r="O48" s="4">
        <v>4.0999999999999996</v>
      </c>
      <c r="P48" s="22">
        <f t="shared" si="4"/>
        <v>8.2333333333333325</v>
      </c>
      <c r="Q48" s="22">
        <f t="shared" si="5"/>
        <v>8.2525000000000013</v>
      </c>
      <c r="R48" s="30">
        <f t="shared" si="6"/>
        <v>8</v>
      </c>
      <c r="S48" s="22">
        <f t="shared" si="7"/>
        <v>4</v>
      </c>
      <c r="T48" s="28">
        <v>45920</v>
      </c>
      <c r="U48" s="28" t="s">
        <v>805</v>
      </c>
      <c r="V48">
        <v>137</v>
      </c>
      <c r="W48" t="s">
        <v>964</v>
      </c>
      <c r="X48" t="s">
        <v>872</v>
      </c>
    </row>
    <row r="49" spans="1:24" x14ac:dyDescent="0.25">
      <c r="A49" s="4">
        <v>48</v>
      </c>
      <c r="B49" s="4" t="s">
        <v>755</v>
      </c>
      <c r="C49" s="31">
        <v>8.24</v>
      </c>
      <c r="D49" s="4">
        <v>2003</v>
      </c>
      <c r="E49" s="10" t="s">
        <v>273</v>
      </c>
      <c r="F49" s="10" t="s">
        <v>830</v>
      </c>
      <c r="G49" s="10" t="s">
        <v>939</v>
      </c>
      <c r="H49" s="10" t="s">
        <v>845</v>
      </c>
      <c r="I49" s="10" t="s">
        <v>66</v>
      </c>
      <c r="J49" s="10" t="s">
        <v>218</v>
      </c>
      <c r="K49" s="10" t="s">
        <v>225</v>
      </c>
      <c r="L49" s="10" t="s">
        <v>227</v>
      </c>
      <c r="M49" s="4">
        <v>8.1999999999999993</v>
      </c>
      <c r="N49" s="4">
        <v>85</v>
      </c>
      <c r="O49" s="4">
        <v>4.2</v>
      </c>
      <c r="P49" s="22">
        <f t="shared" si="4"/>
        <v>8.3666666666666671</v>
      </c>
      <c r="Q49" s="22">
        <f t="shared" si="5"/>
        <v>8.3349999999999991</v>
      </c>
      <c r="R49" s="30">
        <f t="shared" si="6"/>
        <v>8</v>
      </c>
      <c r="S49" s="22">
        <f t="shared" si="7"/>
        <v>4</v>
      </c>
      <c r="T49" s="28">
        <v>45919</v>
      </c>
      <c r="U49" s="28" t="s">
        <v>805</v>
      </c>
      <c r="V49">
        <v>111</v>
      </c>
      <c r="W49" t="s">
        <v>964</v>
      </c>
      <c r="X49" t="s">
        <v>872</v>
      </c>
    </row>
    <row r="50" spans="1:24" x14ac:dyDescent="0.25">
      <c r="A50" s="4">
        <v>49</v>
      </c>
      <c r="B50" s="7" t="s">
        <v>48</v>
      </c>
      <c r="C50" s="31">
        <v>8.2200000000000006</v>
      </c>
      <c r="D50" s="4">
        <v>1996</v>
      </c>
      <c r="E50" s="5" t="s">
        <v>49</v>
      </c>
      <c r="F50" s="5" t="s">
        <v>299</v>
      </c>
      <c r="G50" s="5" t="s">
        <v>300</v>
      </c>
      <c r="H50" s="5" t="s">
        <v>301</v>
      </c>
      <c r="I50" s="5" t="s">
        <v>50</v>
      </c>
      <c r="J50" t="s">
        <v>220</v>
      </c>
      <c r="K50" t="s">
        <v>229</v>
      </c>
      <c r="M50" s="4">
        <v>7</v>
      </c>
      <c r="N50" s="4">
        <v>61</v>
      </c>
      <c r="O50" s="4">
        <v>3.4</v>
      </c>
      <c r="P50" s="22">
        <f t="shared" si="4"/>
        <v>6.6333333333333329</v>
      </c>
      <c r="Q50" s="22">
        <f t="shared" si="5"/>
        <v>7.03</v>
      </c>
      <c r="R50" s="30">
        <f t="shared" si="6"/>
        <v>8</v>
      </c>
      <c r="S50" s="22">
        <f t="shared" si="7"/>
        <v>4</v>
      </c>
      <c r="T50" s="28">
        <v>44736</v>
      </c>
      <c r="U50" s="28" t="s">
        <v>805</v>
      </c>
      <c r="V50">
        <v>92</v>
      </c>
      <c r="W50" t="s">
        <v>875</v>
      </c>
      <c r="X50" t="s">
        <v>967</v>
      </c>
    </row>
    <row r="51" spans="1:24" x14ac:dyDescent="0.25">
      <c r="A51" s="4">
        <v>50</v>
      </c>
      <c r="B51" s="4" t="s">
        <v>764</v>
      </c>
      <c r="C51" s="31">
        <v>8.2200000000000006</v>
      </c>
      <c r="D51" s="4">
        <v>1990</v>
      </c>
      <c r="E51" s="10" t="s">
        <v>44</v>
      </c>
      <c r="F51" s="10" t="s">
        <v>481</v>
      </c>
      <c r="G51" s="10" t="s">
        <v>815</v>
      </c>
      <c r="H51" s="10" t="s">
        <v>809</v>
      </c>
      <c r="I51" s="10" t="s">
        <v>528</v>
      </c>
      <c r="J51" s="10" t="s">
        <v>219</v>
      </c>
      <c r="K51" s="10" t="s">
        <v>225</v>
      </c>
      <c r="L51" s="10" t="s">
        <v>717</v>
      </c>
      <c r="M51" s="4">
        <v>7.6</v>
      </c>
      <c r="N51" s="4">
        <v>66</v>
      </c>
      <c r="O51" s="4">
        <v>3.5</v>
      </c>
      <c r="P51" s="22">
        <f t="shared" si="4"/>
        <v>7.0666666666666664</v>
      </c>
      <c r="Q51" s="22">
        <f t="shared" si="5"/>
        <v>7.3550000000000004</v>
      </c>
      <c r="R51" s="30">
        <f t="shared" si="6"/>
        <v>8</v>
      </c>
      <c r="S51" s="22">
        <f t="shared" si="7"/>
        <v>4</v>
      </c>
      <c r="T51" s="28">
        <v>45894</v>
      </c>
      <c r="U51" s="28" t="s">
        <v>805</v>
      </c>
      <c r="V51">
        <v>162</v>
      </c>
      <c r="W51" t="s">
        <v>964</v>
      </c>
      <c r="X51" t="s">
        <v>872</v>
      </c>
    </row>
    <row r="52" spans="1:24" x14ac:dyDescent="0.25">
      <c r="A52" s="4">
        <v>51</v>
      </c>
      <c r="B52" s="4" t="s">
        <v>529</v>
      </c>
      <c r="C52" s="31">
        <v>8.2100000000000009</v>
      </c>
      <c r="D52" s="4">
        <v>1988</v>
      </c>
      <c r="E52" s="5" t="s">
        <v>9</v>
      </c>
      <c r="F52" s="10" t="s">
        <v>531</v>
      </c>
      <c r="G52" s="10" t="s">
        <v>532</v>
      </c>
      <c r="H52" s="10" t="s">
        <v>533</v>
      </c>
      <c r="I52" s="10" t="s">
        <v>530</v>
      </c>
      <c r="J52" s="10" t="s">
        <v>219</v>
      </c>
      <c r="M52" s="4">
        <v>8</v>
      </c>
      <c r="N52" s="4">
        <v>89</v>
      </c>
      <c r="O52" s="4">
        <v>3.9</v>
      </c>
      <c r="P52" s="22">
        <f t="shared" si="4"/>
        <v>8.2333333333333325</v>
      </c>
      <c r="Q52" s="22">
        <f t="shared" si="5"/>
        <v>8.2274999999999991</v>
      </c>
      <c r="R52" s="30">
        <f t="shared" si="6"/>
        <v>8</v>
      </c>
      <c r="S52" s="22">
        <f t="shared" si="7"/>
        <v>4</v>
      </c>
      <c r="T52" s="28">
        <v>45231</v>
      </c>
      <c r="U52" s="28" t="s">
        <v>805</v>
      </c>
      <c r="V52">
        <v>133</v>
      </c>
      <c r="W52" t="s">
        <v>964</v>
      </c>
      <c r="X52" t="s">
        <v>872</v>
      </c>
    </row>
    <row r="53" spans="1:24" x14ac:dyDescent="0.25">
      <c r="A53" s="4">
        <v>52</v>
      </c>
      <c r="B53" s="4" t="s">
        <v>782</v>
      </c>
      <c r="C53" s="31">
        <v>8.14</v>
      </c>
      <c r="D53" s="4">
        <v>1946</v>
      </c>
      <c r="E53" s="10" t="s">
        <v>320</v>
      </c>
      <c r="F53" s="10" t="s">
        <v>321</v>
      </c>
      <c r="G53" s="10" t="s">
        <v>322</v>
      </c>
      <c r="H53" s="10" t="s">
        <v>323</v>
      </c>
      <c r="I53" s="10" t="s">
        <v>112</v>
      </c>
      <c r="J53" t="s">
        <v>219</v>
      </c>
      <c r="K53" t="s">
        <v>231</v>
      </c>
      <c r="L53" s="10" t="s">
        <v>707</v>
      </c>
      <c r="M53" s="4">
        <v>8.6</v>
      </c>
      <c r="N53" s="4">
        <v>94</v>
      </c>
      <c r="O53" s="4">
        <v>4.4000000000000004</v>
      </c>
      <c r="P53" s="22">
        <f t="shared" si="4"/>
        <v>8.9333333333333336</v>
      </c>
      <c r="Q53" s="22">
        <f t="shared" si="5"/>
        <v>8.7349999999999994</v>
      </c>
      <c r="R53" s="30">
        <f t="shared" si="6"/>
        <v>8</v>
      </c>
      <c r="S53" s="22">
        <f t="shared" si="7"/>
        <v>4</v>
      </c>
      <c r="T53" s="28">
        <v>44672</v>
      </c>
      <c r="U53" s="28" t="s">
        <v>805</v>
      </c>
      <c r="V53">
        <v>130</v>
      </c>
      <c r="W53" t="s">
        <v>964</v>
      </c>
      <c r="X53" t="s">
        <v>973</v>
      </c>
    </row>
    <row r="54" spans="1:24" x14ac:dyDescent="0.25">
      <c r="A54" s="4">
        <v>53</v>
      </c>
      <c r="B54" s="4" t="s">
        <v>762</v>
      </c>
      <c r="C54" s="31">
        <v>8.1300000000000008</v>
      </c>
      <c r="D54" s="4">
        <v>2016</v>
      </c>
      <c r="E54" s="10" t="s">
        <v>835</v>
      </c>
      <c r="F54" s="10" t="s">
        <v>943</v>
      </c>
      <c r="G54" s="10" t="s">
        <v>96</v>
      </c>
      <c r="H54" s="10" t="s">
        <v>944</v>
      </c>
      <c r="I54" s="10" t="s">
        <v>761</v>
      </c>
      <c r="J54" s="10" t="s">
        <v>236</v>
      </c>
      <c r="K54" s="10" t="s">
        <v>219</v>
      </c>
      <c r="L54" s="10" t="s">
        <v>230</v>
      </c>
      <c r="M54" s="4">
        <v>8.1</v>
      </c>
      <c r="N54" s="4">
        <v>84</v>
      </c>
      <c r="O54" s="4">
        <v>4</v>
      </c>
      <c r="P54" s="22">
        <f t="shared" si="4"/>
        <v>8.1666666666666661</v>
      </c>
      <c r="Q54" s="22">
        <f t="shared" si="5"/>
        <v>8.1575000000000006</v>
      </c>
      <c r="R54" s="30">
        <f t="shared" si="6"/>
        <v>8</v>
      </c>
      <c r="S54" s="22">
        <f t="shared" si="7"/>
        <v>4</v>
      </c>
      <c r="T54" s="28">
        <v>45953</v>
      </c>
      <c r="U54" s="28" t="s">
        <v>805</v>
      </c>
      <c r="V54">
        <v>139</v>
      </c>
      <c r="W54" t="s">
        <v>964</v>
      </c>
      <c r="X54" t="s">
        <v>872</v>
      </c>
    </row>
    <row r="55" spans="1:24" x14ac:dyDescent="0.25">
      <c r="A55" s="4">
        <v>54</v>
      </c>
      <c r="B55" s="4" t="s">
        <v>155</v>
      </c>
      <c r="C55" s="31">
        <v>8.1199999999999992</v>
      </c>
      <c r="D55" s="4">
        <v>1993</v>
      </c>
      <c r="E55" s="10" t="s">
        <v>291</v>
      </c>
      <c r="F55" s="10" t="s">
        <v>292</v>
      </c>
      <c r="G55" s="10" t="s">
        <v>293</v>
      </c>
      <c r="H55" s="10" t="s">
        <v>294</v>
      </c>
      <c r="I55" s="10" t="s">
        <v>156</v>
      </c>
      <c r="J55" s="5" t="s">
        <v>220</v>
      </c>
      <c r="K55" t="s">
        <v>219</v>
      </c>
      <c r="L55" s="10" t="s">
        <v>235</v>
      </c>
      <c r="M55" s="4">
        <v>7.8</v>
      </c>
      <c r="N55" s="4">
        <v>63</v>
      </c>
      <c r="O55" s="4">
        <v>3.8</v>
      </c>
      <c r="P55" s="22">
        <f t="shared" si="4"/>
        <v>7.2333333333333334</v>
      </c>
      <c r="Q55" s="22">
        <f t="shared" si="5"/>
        <v>7.4550000000000001</v>
      </c>
      <c r="R55" s="30">
        <f t="shared" si="6"/>
        <v>8</v>
      </c>
      <c r="S55" s="22">
        <f t="shared" si="7"/>
        <v>4</v>
      </c>
      <c r="T55" s="28">
        <v>45718</v>
      </c>
      <c r="U55" s="28" t="s">
        <v>805</v>
      </c>
      <c r="V55">
        <v>101</v>
      </c>
      <c r="W55" t="s">
        <v>964</v>
      </c>
      <c r="X55" t="s">
        <v>872</v>
      </c>
    </row>
    <row r="56" spans="1:24" x14ac:dyDescent="0.25">
      <c r="A56" s="4">
        <v>55</v>
      </c>
      <c r="B56" s="4" t="s">
        <v>992</v>
      </c>
      <c r="C56" s="31">
        <v>8.11</v>
      </c>
      <c r="D56" s="4">
        <v>2002</v>
      </c>
      <c r="E56" s="10" t="s">
        <v>114</v>
      </c>
      <c r="F56" s="10" t="s">
        <v>993</v>
      </c>
      <c r="G56" s="10" t="s">
        <v>393</v>
      </c>
      <c r="H56" s="10" t="s">
        <v>994</v>
      </c>
      <c r="I56" s="10" t="s">
        <v>811</v>
      </c>
      <c r="J56" s="10" t="s">
        <v>218</v>
      </c>
      <c r="K56" s="10" t="s">
        <v>232</v>
      </c>
      <c r="L56" s="10" t="s">
        <v>233</v>
      </c>
      <c r="M56" s="4">
        <v>7.4</v>
      </c>
      <c r="N56" s="4">
        <v>90</v>
      </c>
      <c r="O56" s="4">
        <v>3.8</v>
      </c>
      <c r="P56" s="22">
        <f t="shared" si="4"/>
        <v>8</v>
      </c>
      <c r="Q56" s="22">
        <f t="shared" si="5"/>
        <v>8.0274999999999999</v>
      </c>
      <c r="R56" s="30">
        <f t="shared" si="6"/>
        <v>8</v>
      </c>
      <c r="S56" s="22">
        <f t="shared" si="7"/>
        <v>4</v>
      </c>
      <c r="T56" s="28">
        <v>46048</v>
      </c>
      <c r="U56" s="28" t="s">
        <v>805</v>
      </c>
      <c r="V56">
        <v>121</v>
      </c>
      <c r="W56" t="s">
        <v>964</v>
      </c>
      <c r="X56" t="s">
        <v>960</v>
      </c>
    </row>
    <row r="57" spans="1:24" x14ac:dyDescent="0.25">
      <c r="A57" s="4">
        <v>56</v>
      </c>
      <c r="B57" s="7" t="s">
        <v>590</v>
      </c>
      <c r="C57" s="31">
        <v>8.0399999999999991</v>
      </c>
      <c r="D57" s="7">
        <v>2023</v>
      </c>
      <c r="E57" s="8" t="s">
        <v>591</v>
      </c>
      <c r="F57" s="11" t="s">
        <v>592</v>
      </c>
      <c r="G57" s="10" t="s">
        <v>593</v>
      </c>
      <c r="H57" s="10" t="s">
        <v>594</v>
      </c>
      <c r="I57" s="10" t="s">
        <v>595</v>
      </c>
      <c r="J57" t="s">
        <v>692</v>
      </c>
      <c r="K57" t="s">
        <v>232</v>
      </c>
      <c r="L57" t="s">
        <v>219</v>
      </c>
      <c r="M57" s="4">
        <v>7.2</v>
      </c>
      <c r="N57" s="4">
        <v>65</v>
      </c>
      <c r="O57" s="4">
        <v>3.4</v>
      </c>
      <c r="P57" s="22">
        <f t="shared" si="4"/>
        <v>6.833333333333333</v>
      </c>
      <c r="Q57" s="22">
        <f t="shared" si="5"/>
        <v>7.1349999999999998</v>
      </c>
      <c r="R57" s="30">
        <f t="shared" si="6"/>
        <v>8</v>
      </c>
      <c r="S57" s="22">
        <f t="shared" si="7"/>
        <v>4</v>
      </c>
      <c r="T57" s="28">
        <v>45370</v>
      </c>
      <c r="U57" s="28" t="s">
        <v>805</v>
      </c>
      <c r="V57">
        <v>134</v>
      </c>
      <c r="W57" t="s">
        <v>875</v>
      </c>
      <c r="X57" t="s">
        <v>973</v>
      </c>
    </row>
    <row r="58" spans="1:24" x14ac:dyDescent="0.25">
      <c r="A58" s="4">
        <v>57</v>
      </c>
      <c r="B58" s="4" t="s">
        <v>51</v>
      </c>
      <c r="C58" s="31">
        <v>8.0299999999999994</v>
      </c>
      <c r="D58" s="4">
        <v>2012</v>
      </c>
      <c r="E58" s="5" t="s">
        <v>52</v>
      </c>
      <c r="F58" s="5" t="s">
        <v>15</v>
      </c>
      <c r="G58" s="5" t="s">
        <v>53</v>
      </c>
      <c r="H58" s="5" t="s">
        <v>268</v>
      </c>
      <c r="I58" s="5" t="s">
        <v>55</v>
      </c>
      <c r="J58" s="5" t="s">
        <v>229</v>
      </c>
      <c r="K58" s="5"/>
      <c r="L58" s="5"/>
      <c r="M58" s="4">
        <v>7.2</v>
      </c>
      <c r="N58" s="4">
        <v>84</v>
      </c>
      <c r="O58" s="4">
        <v>3.6</v>
      </c>
      <c r="P58" s="22">
        <f t="shared" si="4"/>
        <v>7.6000000000000005</v>
      </c>
      <c r="Q58" s="22">
        <f t="shared" si="5"/>
        <v>7.7075000000000005</v>
      </c>
      <c r="R58" s="30">
        <f t="shared" si="6"/>
        <v>8</v>
      </c>
      <c r="S58" s="22">
        <f t="shared" si="7"/>
        <v>4</v>
      </c>
      <c r="T58" s="28">
        <v>45023</v>
      </c>
      <c r="U58" s="28" t="s">
        <v>805</v>
      </c>
      <c r="V58">
        <v>109</v>
      </c>
      <c r="W58" t="s">
        <v>964</v>
      </c>
      <c r="X58" t="s">
        <v>872</v>
      </c>
    </row>
    <row r="59" spans="1:24" x14ac:dyDescent="0.25">
      <c r="A59" s="4">
        <v>58</v>
      </c>
      <c r="B59" s="4" t="s">
        <v>774</v>
      </c>
      <c r="C59" s="31">
        <v>8.02</v>
      </c>
      <c r="D59" s="4">
        <v>2004</v>
      </c>
      <c r="E59" s="10" t="s">
        <v>49</v>
      </c>
      <c r="F59" s="10" t="s">
        <v>836</v>
      </c>
      <c r="G59" s="10" t="s">
        <v>877</v>
      </c>
      <c r="H59" s="10" t="s">
        <v>837</v>
      </c>
      <c r="I59" s="10" t="s">
        <v>765</v>
      </c>
      <c r="J59" s="9" t="s">
        <v>231</v>
      </c>
      <c r="K59" s="9" t="s">
        <v>229</v>
      </c>
      <c r="L59" s="9" t="s">
        <v>219</v>
      </c>
      <c r="M59" s="4">
        <v>6.8</v>
      </c>
      <c r="N59" s="4">
        <v>45</v>
      </c>
      <c r="O59" s="7">
        <v>3.4</v>
      </c>
      <c r="P59" s="22">
        <f t="shared" si="4"/>
        <v>6.0333333333333341</v>
      </c>
      <c r="Q59" s="22">
        <f t="shared" si="5"/>
        <v>6.53</v>
      </c>
      <c r="R59" s="30">
        <f t="shared" si="6"/>
        <v>8</v>
      </c>
      <c r="S59" s="22">
        <f t="shared" si="7"/>
        <v>4</v>
      </c>
      <c r="T59" s="29">
        <v>45838</v>
      </c>
      <c r="U59" s="9" t="s">
        <v>805</v>
      </c>
      <c r="V59" s="9">
        <v>106</v>
      </c>
      <c r="W59" s="9" t="s">
        <v>964</v>
      </c>
      <c r="X59" t="s">
        <v>960</v>
      </c>
    </row>
    <row r="60" spans="1:24" x14ac:dyDescent="0.25">
      <c r="A60" s="4">
        <v>59</v>
      </c>
      <c r="B60" s="4" t="s">
        <v>763</v>
      </c>
      <c r="C60" s="31">
        <v>8.01</v>
      </c>
      <c r="D60" s="4">
        <v>2007</v>
      </c>
      <c r="E60" s="10" t="s">
        <v>26</v>
      </c>
      <c r="F60" s="10" t="s">
        <v>362</v>
      </c>
      <c r="G60" s="10" t="s">
        <v>847</v>
      </c>
      <c r="H60" s="10" t="s">
        <v>814</v>
      </c>
      <c r="I60" s="10" t="s">
        <v>752</v>
      </c>
      <c r="J60" s="10" t="s">
        <v>227</v>
      </c>
      <c r="K60" s="10" t="s">
        <v>219</v>
      </c>
      <c r="L60" s="10" t="s">
        <v>218</v>
      </c>
      <c r="M60" s="4">
        <v>7.1</v>
      </c>
      <c r="N60" s="4">
        <v>47</v>
      </c>
      <c r="O60" s="4">
        <v>3.2</v>
      </c>
      <c r="P60" s="22">
        <f t="shared" si="4"/>
        <v>6.0666666666666673</v>
      </c>
      <c r="Q60" s="22">
        <f t="shared" si="5"/>
        <v>6.5525000000000002</v>
      </c>
      <c r="R60" s="30">
        <f t="shared" si="6"/>
        <v>8</v>
      </c>
      <c r="S60" s="22">
        <f t="shared" si="7"/>
        <v>4</v>
      </c>
      <c r="T60" s="28">
        <v>45848</v>
      </c>
      <c r="U60" s="28" t="s">
        <v>805</v>
      </c>
      <c r="V60">
        <v>124</v>
      </c>
      <c r="W60" t="s">
        <v>964</v>
      </c>
      <c r="X60" t="s">
        <v>960</v>
      </c>
    </row>
    <row r="61" spans="1:24" x14ac:dyDescent="0.25">
      <c r="A61" s="4">
        <v>60</v>
      </c>
      <c r="B61" s="4" t="s">
        <v>90</v>
      </c>
      <c r="C61" s="31">
        <v>7.9489999999999998</v>
      </c>
      <c r="D61" s="4">
        <v>2002</v>
      </c>
      <c r="E61" s="5" t="s">
        <v>14</v>
      </c>
      <c r="F61" s="10" t="s">
        <v>68</v>
      </c>
      <c r="G61" s="5" t="s">
        <v>27</v>
      </c>
      <c r="H61" s="5" t="s">
        <v>289</v>
      </c>
      <c r="I61" s="5" t="s">
        <v>69</v>
      </c>
      <c r="J61" s="5" t="s">
        <v>225</v>
      </c>
      <c r="K61" s="5" t="s">
        <v>219</v>
      </c>
      <c r="L61" s="10" t="s">
        <v>230</v>
      </c>
      <c r="M61" s="4">
        <v>8.1</v>
      </c>
      <c r="N61" s="4">
        <v>96</v>
      </c>
      <c r="O61" s="4">
        <v>4</v>
      </c>
      <c r="P61" s="22">
        <f t="shared" si="4"/>
        <v>8.5666666666666664</v>
      </c>
      <c r="Q61" s="22">
        <f t="shared" si="5"/>
        <v>8.4122500000000002</v>
      </c>
      <c r="R61" s="30">
        <f t="shared" si="6"/>
        <v>7</v>
      </c>
      <c r="S61" s="22">
        <f t="shared" si="7"/>
        <v>3.5</v>
      </c>
      <c r="T61" s="28">
        <v>45785</v>
      </c>
      <c r="U61" s="28" t="s">
        <v>805</v>
      </c>
      <c r="V61">
        <v>141</v>
      </c>
      <c r="W61" t="s">
        <v>964</v>
      </c>
      <c r="X61" t="s">
        <v>960</v>
      </c>
    </row>
    <row r="62" spans="1:24" x14ac:dyDescent="0.25">
      <c r="A62" s="4">
        <v>61</v>
      </c>
      <c r="B62" s="4" t="s">
        <v>965</v>
      </c>
      <c r="C62" s="31">
        <v>7.94</v>
      </c>
      <c r="D62" s="4">
        <v>2026</v>
      </c>
      <c r="E62" s="5" t="s">
        <v>21</v>
      </c>
      <c r="F62" s="10" t="s">
        <v>22</v>
      </c>
      <c r="G62" s="10" t="s">
        <v>966</v>
      </c>
      <c r="H62" s="10" t="s">
        <v>840</v>
      </c>
      <c r="I62" s="10" t="s">
        <v>864</v>
      </c>
      <c r="J62" s="10" t="s">
        <v>225</v>
      </c>
      <c r="K62" s="10" t="s">
        <v>218</v>
      </c>
      <c r="L62" s="10" t="s">
        <v>226</v>
      </c>
      <c r="M62" s="4">
        <v>6.9</v>
      </c>
      <c r="N62" s="4">
        <v>83</v>
      </c>
      <c r="O62" s="4">
        <v>3.2</v>
      </c>
      <c r="P62" s="22">
        <f t="shared" si="4"/>
        <v>7.2</v>
      </c>
      <c r="Q62" s="22">
        <f t="shared" si="5"/>
        <v>7.3849999999999998</v>
      </c>
      <c r="R62" s="30">
        <f t="shared" si="6"/>
        <v>7</v>
      </c>
      <c r="S62" s="22">
        <f t="shared" si="7"/>
        <v>3.5</v>
      </c>
      <c r="T62" s="28">
        <v>46040</v>
      </c>
      <c r="U62" s="28" t="s">
        <v>805</v>
      </c>
      <c r="V62">
        <v>112</v>
      </c>
      <c r="W62" t="s">
        <v>964</v>
      </c>
      <c r="X62" t="s">
        <v>960</v>
      </c>
    </row>
    <row r="63" spans="1:24" x14ac:dyDescent="0.25">
      <c r="A63" s="4">
        <v>62</v>
      </c>
      <c r="B63" s="4" t="s">
        <v>766</v>
      </c>
      <c r="C63" s="31">
        <v>7.93</v>
      </c>
      <c r="D63" s="4">
        <v>2010</v>
      </c>
      <c r="E63" s="5" t="s">
        <v>824</v>
      </c>
      <c r="F63" s="10" t="s">
        <v>835</v>
      </c>
      <c r="G63" s="10" t="s">
        <v>834</v>
      </c>
      <c r="H63" s="10" t="s">
        <v>833</v>
      </c>
      <c r="I63" s="10" t="s">
        <v>59</v>
      </c>
      <c r="J63" s="10" t="s">
        <v>219</v>
      </c>
      <c r="K63" s="10" t="s">
        <v>230</v>
      </c>
      <c r="L63" s="10" t="s">
        <v>718</v>
      </c>
      <c r="M63" s="4">
        <v>7.8</v>
      </c>
      <c r="N63" s="4">
        <v>96</v>
      </c>
      <c r="O63" s="4">
        <v>3.9</v>
      </c>
      <c r="P63" s="22">
        <f t="shared" si="4"/>
        <v>8.4</v>
      </c>
      <c r="Q63" s="22">
        <f t="shared" si="5"/>
        <v>8.2824999999999989</v>
      </c>
      <c r="R63" s="30">
        <f t="shared" si="6"/>
        <v>7</v>
      </c>
      <c r="S63" s="22">
        <f t="shared" si="7"/>
        <v>3.5</v>
      </c>
      <c r="T63" s="28">
        <v>46030</v>
      </c>
      <c r="U63" s="28" t="s">
        <v>805</v>
      </c>
      <c r="V63">
        <v>120</v>
      </c>
      <c r="W63" t="s">
        <v>964</v>
      </c>
      <c r="X63" t="s">
        <v>960</v>
      </c>
    </row>
    <row r="64" spans="1:24" x14ac:dyDescent="0.25">
      <c r="A64" s="4">
        <v>63</v>
      </c>
      <c r="B64" s="4" t="s">
        <v>983</v>
      </c>
      <c r="C64" s="31">
        <v>7.91</v>
      </c>
      <c r="D64" s="4">
        <v>2021</v>
      </c>
      <c r="E64" s="10" t="s">
        <v>82</v>
      </c>
      <c r="F64" s="10" t="s">
        <v>984</v>
      </c>
      <c r="G64" s="10" t="s">
        <v>985</v>
      </c>
      <c r="H64" s="10" t="s">
        <v>619</v>
      </c>
      <c r="I64" s="10" t="s">
        <v>986</v>
      </c>
      <c r="J64" s="10" t="s">
        <v>218</v>
      </c>
      <c r="K64" s="10" t="s">
        <v>232</v>
      </c>
      <c r="L64" s="10" t="s">
        <v>227</v>
      </c>
      <c r="M64" s="4">
        <v>7.3</v>
      </c>
      <c r="N64" s="4">
        <v>83</v>
      </c>
      <c r="O64" s="4">
        <v>3.5</v>
      </c>
      <c r="P64" s="22">
        <f t="shared" si="4"/>
        <v>7.5333333333333341</v>
      </c>
      <c r="Q64" s="22">
        <f t="shared" si="5"/>
        <v>7.6275000000000004</v>
      </c>
      <c r="R64" s="30">
        <f t="shared" si="6"/>
        <v>7</v>
      </c>
      <c r="S64" s="22">
        <f t="shared" si="7"/>
        <v>3.5</v>
      </c>
      <c r="T64" s="28">
        <v>46045</v>
      </c>
      <c r="U64" s="28" t="s">
        <v>805</v>
      </c>
      <c r="V64">
        <v>163</v>
      </c>
      <c r="W64" t="s">
        <v>964</v>
      </c>
      <c r="X64" t="s">
        <v>970</v>
      </c>
    </row>
    <row r="65" spans="1:24" x14ac:dyDescent="0.25">
      <c r="A65" s="4">
        <v>64</v>
      </c>
      <c r="B65" s="4" t="s">
        <v>995</v>
      </c>
      <c r="C65" s="31">
        <v>7.91</v>
      </c>
      <c r="D65" s="4">
        <v>2004</v>
      </c>
      <c r="E65" s="10" t="s">
        <v>114</v>
      </c>
      <c r="F65" s="10" t="s">
        <v>993</v>
      </c>
      <c r="G65" s="10" t="s">
        <v>996</v>
      </c>
      <c r="H65" s="10" t="s">
        <v>994</v>
      </c>
      <c r="I65" s="10" t="s">
        <v>811</v>
      </c>
      <c r="J65" s="10" t="s">
        <v>218</v>
      </c>
      <c r="K65" s="10" t="s">
        <v>232</v>
      </c>
      <c r="L65" s="10" t="s">
        <v>233</v>
      </c>
      <c r="M65" s="4">
        <v>7.5</v>
      </c>
      <c r="N65" s="4">
        <v>93</v>
      </c>
      <c r="O65" s="4">
        <v>3.9</v>
      </c>
      <c r="P65" s="22">
        <f t="shared" si="4"/>
        <v>8.2000000000000011</v>
      </c>
      <c r="Q65" s="22">
        <f t="shared" si="5"/>
        <v>8.1274999999999995</v>
      </c>
      <c r="R65" s="30">
        <f t="shared" si="6"/>
        <v>7</v>
      </c>
      <c r="S65" s="22">
        <f t="shared" si="7"/>
        <v>3.5</v>
      </c>
      <c r="T65" s="28">
        <v>46049</v>
      </c>
      <c r="U65" s="28" t="s">
        <v>805</v>
      </c>
      <c r="V65">
        <v>135</v>
      </c>
      <c r="W65" t="s">
        <v>964</v>
      </c>
      <c r="X65" t="s">
        <v>960</v>
      </c>
    </row>
    <row r="66" spans="1:24" x14ac:dyDescent="0.25">
      <c r="A66" s="4">
        <v>65</v>
      </c>
      <c r="B66" s="4" t="s">
        <v>807</v>
      </c>
      <c r="C66" s="31">
        <v>7.8490000000000002</v>
      </c>
      <c r="D66" s="4">
        <v>1993</v>
      </c>
      <c r="E66" s="10" t="s">
        <v>124</v>
      </c>
      <c r="F66" s="10" t="s">
        <v>828</v>
      </c>
      <c r="G66" s="10" t="s">
        <v>843</v>
      </c>
      <c r="H66" s="10" t="s">
        <v>950</v>
      </c>
      <c r="I66" s="10" t="s">
        <v>786</v>
      </c>
      <c r="J66" s="10" t="s">
        <v>219</v>
      </c>
      <c r="K66" s="10" t="s">
        <v>229</v>
      </c>
      <c r="L66" s="10" t="s">
        <v>231</v>
      </c>
      <c r="M66" s="4">
        <v>8</v>
      </c>
      <c r="N66" s="4">
        <v>94</v>
      </c>
      <c r="O66" s="4">
        <v>3.8</v>
      </c>
      <c r="P66" s="22">
        <f t="shared" ref="P66:P97" si="8">(M66+(N66/10)+(O66*2))/3</f>
        <v>8.3333333333333339</v>
      </c>
      <c r="Q66" s="22">
        <f t="shared" ref="Q66:Q97" si="9">(M66+C66+(N66/10)+(O66*2))/4</f>
        <v>8.2122500000000009</v>
      </c>
      <c r="R66" s="30">
        <f t="shared" ref="R66:R97" si="10">IF(C66&gt;=9.5,10,
IF(C66&gt;=9,9,
IF(C66&gt;=8,8,
IF(C66&gt;=7,7,
IF(C66&gt;=6,6,
IF(C66&gt;=5,5,
IF(C66&gt;=4,4,
IF(C66&gt;=3,3,
IF(C66&gt;=1.5,2,
IF(C66&gt;=0,1,""))))))))))</f>
        <v>7</v>
      </c>
      <c r="S66" s="22">
        <f t="shared" ref="S66:S97" si="11">IF(C66&gt;=9.5,5,
IF(C66&gt;=9,4.5,
IF(C66&gt;=8,4,
IF(C66&gt;=7,3.5,
IF(C66&gt;=6,3,
IF(C66&gt;=5,2.5,
IF(C66&gt;=4,2,
IF(C66&gt;=3,1.5,
IF(C66&gt;=1.5,1,
IF(C66&gt;=0,0.5,""))))))))))</f>
        <v>3.5</v>
      </c>
      <c r="T66" s="28">
        <v>46024</v>
      </c>
      <c r="U66" s="28" t="s">
        <v>805</v>
      </c>
      <c r="V66">
        <v>101</v>
      </c>
      <c r="W66" t="s">
        <v>964</v>
      </c>
      <c r="X66" t="s">
        <v>960</v>
      </c>
    </row>
    <row r="67" spans="1:24" x14ac:dyDescent="0.25">
      <c r="A67" s="4">
        <v>66</v>
      </c>
      <c r="B67" s="4" t="s">
        <v>107</v>
      </c>
      <c r="C67" s="31">
        <v>7.84</v>
      </c>
      <c r="D67" s="4">
        <v>2004</v>
      </c>
      <c r="E67" s="5" t="s">
        <v>11</v>
      </c>
      <c r="F67" s="10" t="s">
        <v>108</v>
      </c>
      <c r="G67" s="10" t="s">
        <v>109</v>
      </c>
      <c r="H67" s="10" t="s">
        <v>110</v>
      </c>
      <c r="I67" s="10" t="s">
        <v>39</v>
      </c>
      <c r="J67" s="10" t="s">
        <v>229</v>
      </c>
      <c r="M67" s="4">
        <v>7.1</v>
      </c>
      <c r="N67" s="4">
        <v>66</v>
      </c>
      <c r="O67" s="4">
        <v>3.5</v>
      </c>
      <c r="P67" s="22">
        <f t="shared" si="8"/>
        <v>6.8999999999999995</v>
      </c>
      <c r="Q67" s="22">
        <f t="shared" si="9"/>
        <v>7.1349999999999998</v>
      </c>
      <c r="R67" s="30">
        <f t="shared" si="10"/>
        <v>7</v>
      </c>
      <c r="S67" s="22">
        <f t="shared" si="11"/>
        <v>3.5</v>
      </c>
      <c r="T67" s="28">
        <v>45891</v>
      </c>
      <c r="U67" s="28" t="s">
        <v>805</v>
      </c>
      <c r="V67">
        <v>94</v>
      </c>
      <c r="W67" t="s">
        <v>964</v>
      </c>
      <c r="X67" t="s">
        <v>872</v>
      </c>
    </row>
    <row r="68" spans="1:24" x14ac:dyDescent="0.25">
      <c r="A68" s="4">
        <v>67</v>
      </c>
      <c r="B68" s="4" t="s">
        <v>700</v>
      </c>
      <c r="C68" s="31">
        <v>7.83</v>
      </c>
      <c r="D68" s="4">
        <v>1988</v>
      </c>
      <c r="E68" s="5" t="s">
        <v>65</v>
      </c>
      <c r="F68" s="10" t="s">
        <v>703</v>
      </c>
      <c r="G68" s="10" t="s">
        <v>704</v>
      </c>
      <c r="H68" s="10" t="s">
        <v>705</v>
      </c>
      <c r="I68" s="10" t="s">
        <v>706</v>
      </c>
      <c r="J68" s="10" t="s">
        <v>218</v>
      </c>
      <c r="K68" s="10" t="s">
        <v>227</v>
      </c>
      <c r="L68" s="10"/>
      <c r="M68" s="4">
        <v>8.1999999999999993</v>
      </c>
      <c r="N68" s="4">
        <v>94</v>
      </c>
      <c r="O68" s="4">
        <v>4.0999999999999996</v>
      </c>
      <c r="P68" s="22">
        <f t="shared" si="8"/>
        <v>8.6</v>
      </c>
      <c r="Q68" s="22">
        <f t="shared" si="9"/>
        <v>8.4074999999999989</v>
      </c>
      <c r="R68" s="30">
        <f t="shared" si="10"/>
        <v>7</v>
      </c>
      <c r="S68" s="22">
        <f t="shared" si="11"/>
        <v>3.5</v>
      </c>
      <c r="T68" s="28">
        <v>45647</v>
      </c>
      <c r="U68" s="28" t="s">
        <v>805</v>
      </c>
      <c r="V68">
        <v>132</v>
      </c>
      <c r="W68" t="s">
        <v>964</v>
      </c>
      <c r="X68" t="s">
        <v>973</v>
      </c>
    </row>
    <row r="69" spans="1:24" x14ac:dyDescent="0.25">
      <c r="A69" s="4">
        <v>68</v>
      </c>
      <c r="B69" s="4" t="s">
        <v>164</v>
      </c>
      <c r="C69" s="31">
        <v>7.82</v>
      </c>
      <c r="D69" s="4">
        <v>1992</v>
      </c>
      <c r="E69" s="10" t="s">
        <v>170</v>
      </c>
      <c r="F69" s="10" t="s">
        <v>173</v>
      </c>
      <c r="G69" s="10" t="s">
        <v>172</v>
      </c>
      <c r="H69" s="10" t="s">
        <v>171</v>
      </c>
      <c r="I69" s="10" t="s">
        <v>169</v>
      </c>
      <c r="J69" s="5" t="s">
        <v>220</v>
      </c>
      <c r="K69" s="5" t="s">
        <v>219</v>
      </c>
      <c r="L69" s="5" t="s">
        <v>235</v>
      </c>
      <c r="M69" s="4">
        <v>6.5</v>
      </c>
      <c r="N69" s="4">
        <v>23</v>
      </c>
      <c r="O69" s="4">
        <v>3.4</v>
      </c>
      <c r="P69" s="22">
        <f t="shared" si="8"/>
        <v>5.2</v>
      </c>
      <c r="Q69" s="22">
        <f t="shared" si="9"/>
        <v>5.8550000000000004</v>
      </c>
      <c r="R69" s="30">
        <f t="shared" si="10"/>
        <v>7</v>
      </c>
      <c r="S69" s="22">
        <f t="shared" si="11"/>
        <v>3.5</v>
      </c>
      <c r="T69" s="28">
        <v>45718</v>
      </c>
      <c r="U69" s="28" t="s">
        <v>805</v>
      </c>
      <c r="V69">
        <v>104</v>
      </c>
      <c r="W69" t="s">
        <v>964</v>
      </c>
      <c r="X69" t="s">
        <v>968</v>
      </c>
    </row>
    <row r="70" spans="1:24" x14ac:dyDescent="0.25">
      <c r="A70" s="4">
        <v>69</v>
      </c>
      <c r="B70" s="4" t="s">
        <v>185</v>
      </c>
      <c r="C70" s="31">
        <v>7.81</v>
      </c>
      <c r="D70" s="4">
        <v>2023</v>
      </c>
      <c r="E70" s="10" t="s">
        <v>21</v>
      </c>
      <c r="F70" s="10" t="s">
        <v>22</v>
      </c>
      <c r="G70" s="10" t="s">
        <v>186</v>
      </c>
      <c r="H70" s="10" t="s">
        <v>129</v>
      </c>
      <c r="I70" s="10" t="s">
        <v>22</v>
      </c>
      <c r="J70" s="5" t="s">
        <v>220</v>
      </c>
      <c r="K70" s="10" t="s">
        <v>219</v>
      </c>
      <c r="M70" s="4">
        <v>7.4</v>
      </c>
      <c r="N70" s="4">
        <v>92</v>
      </c>
      <c r="O70" s="4">
        <v>3.6</v>
      </c>
      <c r="P70" s="22">
        <f t="shared" si="8"/>
        <v>7.9333333333333336</v>
      </c>
      <c r="Q70" s="22">
        <f t="shared" si="9"/>
        <v>7.9024999999999999</v>
      </c>
      <c r="R70" s="30">
        <f t="shared" si="10"/>
        <v>7</v>
      </c>
      <c r="S70" s="22">
        <f t="shared" si="11"/>
        <v>3.5</v>
      </c>
      <c r="T70" s="28">
        <v>45065</v>
      </c>
      <c r="U70" s="28" t="s">
        <v>805</v>
      </c>
      <c r="V70">
        <v>111</v>
      </c>
      <c r="W70" t="s">
        <v>964</v>
      </c>
      <c r="X70" t="s">
        <v>872</v>
      </c>
    </row>
    <row r="71" spans="1:24" x14ac:dyDescent="0.25">
      <c r="A71" s="4">
        <v>70</v>
      </c>
      <c r="B71" s="4" t="s">
        <v>418</v>
      </c>
      <c r="C71" s="31">
        <v>7.74</v>
      </c>
      <c r="D71" s="4">
        <v>2018</v>
      </c>
      <c r="E71" s="5" t="s">
        <v>9</v>
      </c>
      <c r="F71" s="10" t="s">
        <v>396</v>
      </c>
      <c r="G71" s="10" t="s">
        <v>286</v>
      </c>
      <c r="H71" s="10" t="s">
        <v>420</v>
      </c>
      <c r="I71" s="10" t="s">
        <v>397</v>
      </c>
      <c r="J71" s="10" t="s">
        <v>218</v>
      </c>
      <c r="K71" s="10" t="s">
        <v>227</v>
      </c>
      <c r="L71" s="10" t="s">
        <v>232</v>
      </c>
      <c r="M71" s="4">
        <v>7.7</v>
      </c>
      <c r="N71" s="4">
        <v>97</v>
      </c>
      <c r="O71" s="4">
        <v>4</v>
      </c>
      <c r="P71" s="22">
        <f t="shared" si="8"/>
        <v>8.4666666666666668</v>
      </c>
      <c r="Q71" s="22">
        <f t="shared" si="9"/>
        <v>8.2850000000000001</v>
      </c>
      <c r="R71" s="30">
        <f t="shared" si="10"/>
        <v>7</v>
      </c>
      <c r="S71" s="22">
        <f t="shared" si="11"/>
        <v>3.5</v>
      </c>
      <c r="T71" s="28">
        <v>45096</v>
      </c>
      <c r="U71" s="28" t="s">
        <v>805</v>
      </c>
      <c r="V71">
        <v>147</v>
      </c>
      <c r="W71" t="s">
        <v>964</v>
      </c>
      <c r="X71" t="s">
        <v>872</v>
      </c>
    </row>
    <row r="72" spans="1:24" x14ac:dyDescent="0.25">
      <c r="A72" s="4">
        <v>71</v>
      </c>
      <c r="B72" s="4" t="s">
        <v>402</v>
      </c>
      <c r="C72" s="31">
        <v>7.73</v>
      </c>
      <c r="D72" s="4">
        <v>2015</v>
      </c>
      <c r="E72" s="10" t="s">
        <v>11</v>
      </c>
      <c r="F72" s="10" t="s">
        <v>403</v>
      </c>
      <c r="G72" s="10" t="s">
        <v>404</v>
      </c>
      <c r="H72" s="10" t="s">
        <v>405</v>
      </c>
      <c r="I72" s="10" t="s">
        <v>406</v>
      </c>
      <c r="J72" s="10" t="s">
        <v>229</v>
      </c>
      <c r="K72" s="10"/>
      <c r="L72" s="10"/>
      <c r="M72" s="4">
        <v>6</v>
      </c>
      <c r="N72" s="4">
        <v>28</v>
      </c>
      <c r="O72" s="4">
        <v>2.5</v>
      </c>
      <c r="P72" s="22">
        <f t="shared" si="8"/>
        <v>4.6000000000000005</v>
      </c>
      <c r="Q72" s="22">
        <f t="shared" si="9"/>
        <v>5.3825000000000003</v>
      </c>
      <c r="R72" s="30">
        <f t="shared" si="10"/>
        <v>7</v>
      </c>
      <c r="S72" s="22">
        <f t="shared" si="11"/>
        <v>3.5</v>
      </c>
      <c r="T72" s="28">
        <v>45828</v>
      </c>
      <c r="U72" s="28" t="s">
        <v>805</v>
      </c>
      <c r="V72">
        <v>100</v>
      </c>
      <c r="W72" t="s">
        <v>964</v>
      </c>
      <c r="X72" t="s">
        <v>872</v>
      </c>
    </row>
    <row r="73" spans="1:24" x14ac:dyDescent="0.25">
      <c r="A73" s="4">
        <v>72</v>
      </c>
      <c r="B73" s="4" t="s">
        <v>471</v>
      </c>
      <c r="C73" s="31">
        <v>7.72</v>
      </c>
      <c r="D73" s="4">
        <v>1957</v>
      </c>
      <c r="E73" s="10" t="s">
        <v>474</v>
      </c>
      <c r="F73" s="10" t="s">
        <v>475</v>
      </c>
      <c r="G73" s="10" t="s">
        <v>476</v>
      </c>
      <c r="H73" s="10" t="s">
        <v>478</v>
      </c>
      <c r="I73" s="10" t="s">
        <v>477</v>
      </c>
      <c r="J73" s="10" t="s">
        <v>225</v>
      </c>
      <c r="K73" s="10" t="s">
        <v>219</v>
      </c>
      <c r="L73" s="10" t="s">
        <v>718</v>
      </c>
      <c r="M73" s="4">
        <v>9</v>
      </c>
      <c r="N73" s="4">
        <v>92</v>
      </c>
      <c r="O73" s="4">
        <v>4.5999999999999996</v>
      </c>
      <c r="P73" s="22">
        <f t="shared" si="8"/>
        <v>9.1333333333333329</v>
      </c>
      <c r="Q73" s="22">
        <f t="shared" si="9"/>
        <v>8.7799999999999994</v>
      </c>
      <c r="R73" s="30">
        <f t="shared" si="10"/>
        <v>7</v>
      </c>
      <c r="S73" s="22">
        <f t="shared" si="11"/>
        <v>3.5</v>
      </c>
      <c r="T73" s="28">
        <v>45111</v>
      </c>
      <c r="U73" s="28" t="s">
        <v>805</v>
      </c>
      <c r="V73">
        <v>96</v>
      </c>
      <c r="W73" t="s">
        <v>964</v>
      </c>
      <c r="X73" t="s">
        <v>967</v>
      </c>
    </row>
    <row r="74" spans="1:24" x14ac:dyDescent="0.25">
      <c r="A74" s="4">
        <v>73</v>
      </c>
      <c r="B74" s="4" t="s">
        <v>157</v>
      </c>
      <c r="C74" s="31">
        <v>7.71</v>
      </c>
      <c r="D74" s="4">
        <v>2009</v>
      </c>
      <c r="E74" s="10" t="s">
        <v>158</v>
      </c>
      <c r="F74" s="10" t="s">
        <v>159</v>
      </c>
      <c r="G74" s="10" t="s">
        <v>161</v>
      </c>
      <c r="H74" s="10" t="s">
        <v>160</v>
      </c>
      <c r="I74" s="10" t="s">
        <v>162</v>
      </c>
      <c r="J74" s="10" t="s">
        <v>229</v>
      </c>
      <c r="M74" s="4">
        <v>7.7</v>
      </c>
      <c r="N74" s="4">
        <v>78</v>
      </c>
      <c r="O74" s="4">
        <v>3.7</v>
      </c>
      <c r="P74" s="22">
        <f t="shared" si="8"/>
        <v>7.6333333333333329</v>
      </c>
      <c r="Q74" s="22">
        <f t="shared" si="9"/>
        <v>7.6524999999999999</v>
      </c>
      <c r="R74" s="30">
        <f t="shared" si="10"/>
        <v>7</v>
      </c>
      <c r="S74" s="22">
        <f t="shared" si="11"/>
        <v>3.5</v>
      </c>
      <c r="T74" s="28">
        <v>45071</v>
      </c>
      <c r="U74" s="28" t="s">
        <v>805</v>
      </c>
      <c r="V74">
        <v>100</v>
      </c>
      <c r="W74" t="s">
        <v>964</v>
      </c>
      <c r="X74" t="s">
        <v>872</v>
      </c>
    </row>
    <row r="75" spans="1:24" x14ac:dyDescent="0.25">
      <c r="A75" s="4">
        <v>74</v>
      </c>
      <c r="B75" s="4" t="s">
        <v>458</v>
      </c>
      <c r="C75" s="31">
        <v>7.649</v>
      </c>
      <c r="D75" s="4">
        <v>2009</v>
      </c>
      <c r="E75" s="10" t="s">
        <v>57</v>
      </c>
      <c r="F75" s="10" t="s">
        <v>426</v>
      </c>
      <c r="G75" s="10" t="s">
        <v>459</v>
      </c>
      <c r="H75" s="10" t="s">
        <v>460</v>
      </c>
      <c r="I75" s="10" t="s">
        <v>66</v>
      </c>
      <c r="J75" s="10" t="s">
        <v>236</v>
      </c>
      <c r="K75" s="10" t="s">
        <v>219</v>
      </c>
      <c r="L75" s="10" t="s">
        <v>232</v>
      </c>
      <c r="M75" s="4">
        <v>8.4</v>
      </c>
      <c r="N75" s="4">
        <v>89</v>
      </c>
      <c r="O75" s="4">
        <v>4.4000000000000004</v>
      </c>
      <c r="P75" s="22">
        <f t="shared" si="8"/>
        <v>8.7000000000000011</v>
      </c>
      <c r="Q75" s="22">
        <f t="shared" si="9"/>
        <v>8.4372499999999988</v>
      </c>
      <c r="R75" s="30">
        <f t="shared" si="10"/>
        <v>7</v>
      </c>
      <c r="S75" s="22">
        <f t="shared" si="11"/>
        <v>3.5</v>
      </c>
      <c r="T75" s="28">
        <v>45411</v>
      </c>
      <c r="U75" s="28" t="s">
        <v>805</v>
      </c>
      <c r="V75">
        <v>153</v>
      </c>
      <c r="W75" t="s">
        <v>964</v>
      </c>
      <c r="X75" t="s">
        <v>872</v>
      </c>
    </row>
    <row r="76" spans="1:24" x14ac:dyDescent="0.25">
      <c r="A76" s="4">
        <v>75</v>
      </c>
      <c r="B76" s="4" t="s">
        <v>565</v>
      </c>
      <c r="C76" s="31">
        <v>7.64</v>
      </c>
      <c r="D76" s="4">
        <v>2023</v>
      </c>
      <c r="E76" s="5" t="s">
        <v>569</v>
      </c>
      <c r="F76" s="10" t="s">
        <v>21</v>
      </c>
      <c r="G76" s="10" t="s">
        <v>570</v>
      </c>
      <c r="H76" s="10" t="s">
        <v>545</v>
      </c>
      <c r="I76" s="10" t="s">
        <v>41</v>
      </c>
      <c r="J76" s="10" t="s">
        <v>230</v>
      </c>
      <c r="K76" s="10" t="s">
        <v>219</v>
      </c>
      <c r="L76" s="10" t="s">
        <v>237</v>
      </c>
      <c r="M76" s="4">
        <v>8.3000000000000007</v>
      </c>
      <c r="N76" s="4">
        <v>93</v>
      </c>
      <c r="O76" s="4">
        <v>4.2</v>
      </c>
      <c r="P76" s="22">
        <f t="shared" si="8"/>
        <v>8.6666666666666661</v>
      </c>
      <c r="Q76" s="22">
        <f t="shared" si="9"/>
        <v>8.41</v>
      </c>
      <c r="R76" s="30">
        <f t="shared" si="10"/>
        <v>7</v>
      </c>
      <c r="S76" s="22">
        <f t="shared" si="11"/>
        <v>3.5</v>
      </c>
      <c r="T76" s="28">
        <v>45364</v>
      </c>
      <c r="U76" s="28" t="s">
        <v>805</v>
      </c>
      <c r="V76">
        <v>180</v>
      </c>
      <c r="W76" t="s">
        <v>875</v>
      </c>
      <c r="X76" t="s">
        <v>973</v>
      </c>
    </row>
    <row r="77" spans="1:24" x14ac:dyDescent="0.25">
      <c r="A77" s="4">
        <v>76</v>
      </c>
      <c r="B77" s="4" t="s">
        <v>567</v>
      </c>
      <c r="C77" s="31">
        <v>7.63</v>
      </c>
      <c r="D77" s="4">
        <v>2011</v>
      </c>
      <c r="E77" s="10" t="s">
        <v>9</v>
      </c>
      <c r="F77" s="10" t="s">
        <v>153</v>
      </c>
      <c r="G77" s="10" t="s">
        <v>286</v>
      </c>
      <c r="H77" s="10" t="s">
        <v>287</v>
      </c>
      <c r="I77" s="10" t="s">
        <v>154</v>
      </c>
      <c r="J77" s="5" t="s">
        <v>218</v>
      </c>
      <c r="K77" s="10" t="s">
        <v>227</v>
      </c>
      <c r="L77" s="10" t="s">
        <v>232</v>
      </c>
      <c r="M77" s="4">
        <v>7.4</v>
      </c>
      <c r="N77" s="4">
        <v>93</v>
      </c>
      <c r="O77" s="4">
        <v>3.7</v>
      </c>
      <c r="P77" s="22">
        <f t="shared" si="8"/>
        <v>8.0333333333333332</v>
      </c>
      <c r="Q77" s="22">
        <f t="shared" si="9"/>
        <v>7.932500000000001</v>
      </c>
      <c r="R77" s="30">
        <f t="shared" si="10"/>
        <v>7</v>
      </c>
      <c r="S77" s="22">
        <f t="shared" si="11"/>
        <v>3.5</v>
      </c>
      <c r="T77" s="28">
        <v>45858</v>
      </c>
      <c r="U77" s="28" t="s">
        <v>805</v>
      </c>
      <c r="V77">
        <v>132</v>
      </c>
      <c r="W77" t="s">
        <v>975</v>
      </c>
      <c r="X77" t="s">
        <v>967</v>
      </c>
    </row>
    <row r="78" spans="1:24" x14ac:dyDescent="0.25">
      <c r="A78" s="4">
        <v>77</v>
      </c>
      <c r="B78" s="4" t="s">
        <v>737</v>
      </c>
      <c r="C78" s="31">
        <v>7.62</v>
      </c>
      <c r="D78" s="4">
        <v>2001</v>
      </c>
      <c r="E78" s="10" t="s">
        <v>738</v>
      </c>
      <c r="F78" s="10" t="s">
        <v>739</v>
      </c>
      <c r="G78" s="10" t="s">
        <v>740</v>
      </c>
      <c r="H78" s="10" t="s">
        <v>274</v>
      </c>
      <c r="I78" s="10" t="s">
        <v>542</v>
      </c>
      <c r="J78" s="10" t="s">
        <v>236</v>
      </c>
      <c r="K78" s="10" t="s">
        <v>219</v>
      </c>
      <c r="L78" s="10" t="s">
        <v>218</v>
      </c>
      <c r="M78" s="4">
        <v>7.7</v>
      </c>
      <c r="N78" s="4">
        <v>76</v>
      </c>
      <c r="O78" s="4">
        <v>3.7</v>
      </c>
      <c r="P78" s="22">
        <f t="shared" si="8"/>
        <v>7.5666666666666673</v>
      </c>
      <c r="Q78" s="22">
        <f t="shared" si="9"/>
        <v>7.58</v>
      </c>
      <c r="R78" s="30">
        <f t="shared" si="10"/>
        <v>7</v>
      </c>
      <c r="S78" s="22">
        <f t="shared" si="11"/>
        <v>3.5</v>
      </c>
      <c r="T78" s="28">
        <v>45751</v>
      </c>
      <c r="U78" s="28" t="s">
        <v>805</v>
      </c>
      <c r="V78">
        <v>144</v>
      </c>
      <c r="W78" t="s">
        <v>964</v>
      </c>
      <c r="X78" t="s">
        <v>872</v>
      </c>
    </row>
    <row r="79" spans="1:24" x14ac:dyDescent="0.25">
      <c r="A79" s="4">
        <v>78</v>
      </c>
      <c r="B79" s="4" t="s">
        <v>507</v>
      </c>
      <c r="C79" s="31">
        <v>7.61</v>
      </c>
      <c r="D79" s="4">
        <v>2017</v>
      </c>
      <c r="E79" s="10" t="s">
        <v>508</v>
      </c>
      <c r="F79" s="10" t="s">
        <v>509</v>
      </c>
      <c r="G79" s="10" t="s">
        <v>510</v>
      </c>
      <c r="H79" s="10" t="s">
        <v>511</v>
      </c>
      <c r="I79" s="10" t="s">
        <v>41</v>
      </c>
      <c r="J79" s="5" t="s">
        <v>236</v>
      </c>
      <c r="K79" s="10" t="s">
        <v>227</v>
      </c>
      <c r="L79" s="10" t="s">
        <v>219</v>
      </c>
      <c r="M79" s="4">
        <v>7.8</v>
      </c>
      <c r="N79" s="4">
        <v>92</v>
      </c>
      <c r="O79" s="4">
        <v>3.8</v>
      </c>
      <c r="P79" s="22">
        <f t="shared" si="8"/>
        <v>8.2000000000000011</v>
      </c>
      <c r="Q79" s="22">
        <f t="shared" si="9"/>
        <v>8.0525000000000002</v>
      </c>
      <c r="R79" s="30">
        <f t="shared" si="10"/>
        <v>7</v>
      </c>
      <c r="S79" s="22">
        <f t="shared" si="11"/>
        <v>3.5</v>
      </c>
      <c r="T79" s="28">
        <v>45140</v>
      </c>
      <c r="U79" s="28" t="s">
        <v>805</v>
      </c>
      <c r="V79">
        <v>106</v>
      </c>
      <c r="W79" t="s">
        <v>964</v>
      </c>
      <c r="X79" t="s">
        <v>872</v>
      </c>
    </row>
    <row r="80" spans="1:24" x14ac:dyDescent="0.25">
      <c r="A80" s="4">
        <v>79</v>
      </c>
      <c r="B80" s="4" t="s">
        <v>773</v>
      </c>
      <c r="C80" s="31">
        <v>7.55</v>
      </c>
      <c r="D80" s="4">
        <v>2014</v>
      </c>
      <c r="E80" s="10" t="s">
        <v>9</v>
      </c>
      <c r="F80" s="10" t="s">
        <v>545</v>
      </c>
      <c r="G80" s="10" t="s">
        <v>341</v>
      </c>
      <c r="H80" s="10" t="s">
        <v>515</v>
      </c>
      <c r="I80" s="10" t="s">
        <v>367</v>
      </c>
      <c r="J80" s="10" t="s">
        <v>233</v>
      </c>
      <c r="K80" s="10" t="s">
        <v>218</v>
      </c>
      <c r="L80" s="10" t="s">
        <v>232</v>
      </c>
      <c r="M80" s="4">
        <v>7.9</v>
      </c>
      <c r="N80" s="4">
        <v>91</v>
      </c>
      <c r="O80" s="4">
        <v>3.8</v>
      </c>
      <c r="P80" s="22">
        <f t="shared" si="8"/>
        <v>8.2000000000000011</v>
      </c>
      <c r="Q80" s="22">
        <f t="shared" si="9"/>
        <v>8.0374999999999996</v>
      </c>
      <c r="R80" s="30">
        <f t="shared" si="10"/>
        <v>7</v>
      </c>
      <c r="S80" s="22">
        <f t="shared" si="11"/>
        <v>3.5</v>
      </c>
      <c r="T80" s="28">
        <v>45918</v>
      </c>
      <c r="U80" s="28" t="s">
        <v>805</v>
      </c>
      <c r="V80">
        <v>113</v>
      </c>
      <c r="W80" t="s">
        <v>964</v>
      </c>
      <c r="X80" t="s">
        <v>970</v>
      </c>
    </row>
    <row r="81" spans="1:198" x14ac:dyDescent="0.25">
      <c r="A81" s="4">
        <v>80</v>
      </c>
      <c r="B81" s="4" t="s">
        <v>987</v>
      </c>
      <c r="C81" s="31">
        <v>7.54</v>
      </c>
      <c r="D81" s="4">
        <v>2022</v>
      </c>
      <c r="E81" s="10" t="s">
        <v>57</v>
      </c>
      <c r="F81" s="10" t="s">
        <v>988</v>
      </c>
      <c r="G81" s="10" t="s">
        <v>989</v>
      </c>
      <c r="H81" s="10" t="s">
        <v>990</v>
      </c>
      <c r="I81" s="10" t="s">
        <v>991</v>
      </c>
      <c r="J81" s="10" t="s">
        <v>218</v>
      </c>
      <c r="K81" s="10" t="s">
        <v>229</v>
      </c>
      <c r="L81" s="10" t="s">
        <v>227</v>
      </c>
      <c r="M81" s="4">
        <v>7.3</v>
      </c>
      <c r="N81" s="4">
        <v>52</v>
      </c>
      <c r="O81" s="4">
        <v>3.6</v>
      </c>
      <c r="P81" s="22">
        <f t="shared" si="8"/>
        <v>6.5666666666666664</v>
      </c>
      <c r="Q81" s="22">
        <f t="shared" si="9"/>
        <v>6.81</v>
      </c>
      <c r="R81" s="30">
        <f t="shared" si="10"/>
        <v>7</v>
      </c>
      <c r="S81" s="22">
        <f t="shared" si="11"/>
        <v>3.5</v>
      </c>
      <c r="T81" s="28">
        <v>46047</v>
      </c>
      <c r="U81" s="28" t="s">
        <v>805</v>
      </c>
      <c r="V81">
        <v>126</v>
      </c>
      <c r="W81" t="s">
        <v>964</v>
      </c>
      <c r="X81" t="s">
        <v>960</v>
      </c>
    </row>
    <row r="82" spans="1:198" x14ac:dyDescent="0.25">
      <c r="A82" s="4">
        <v>81</v>
      </c>
      <c r="B82" s="4" t="s">
        <v>368</v>
      </c>
      <c r="C82" s="31">
        <v>7.53</v>
      </c>
      <c r="D82" s="4">
        <v>2013</v>
      </c>
      <c r="E82" s="5" t="s">
        <v>370</v>
      </c>
      <c r="F82" s="10" t="s">
        <v>371</v>
      </c>
      <c r="G82" s="10" t="s">
        <v>372</v>
      </c>
      <c r="H82" s="10" t="s">
        <v>373</v>
      </c>
      <c r="I82" s="10" t="s">
        <v>374</v>
      </c>
      <c r="J82" t="s">
        <v>692</v>
      </c>
      <c r="K82" s="10" t="s">
        <v>219</v>
      </c>
      <c r="L82" s="10" t="s">
        <v>230</v>
      </c>
      <c r="M82" s="4">
        <v>8.1</v>
      </c>
      <c r="N82" s="4">
        <v>88</v>
      </c>
      <c r="O82" s="4">
        <v>3.9</v>
      </c>
      <c r="P82" s="22">
        <f t="shared" si="8"/>
        <v>8.2333333333333325</v>
      </c>
      <c r="Q82" s="22">
        <f t="shared" si="9"/>
        <v>8.0574999999999992</v>
      </c>
      <c r="R82" s="30">
        <f t="shared" si="10"/>
        <v>7</v>
      </c>
      <c r="S82" s="22">
        <f t="shared" si="11"/>
        <v>3.5</v>
      </c>
      <c r="T82" s="28">
        <v>45082</v>
      </c>
      <c r="U82" s="28" t="s">
        <v>805</v>
      </c>
      <c r="V82">
        <v>123</v>
      </c>
      <c r="W82" t="s">
        <v>964</v>
      </c>
      <c r="X82" t="s">
        <v>872</v>
      </c>
    </row>
    <row r="83" spans="1:198" x14ac:dyDescent="0.25">
      <c r="A83" s="4">
        <v>82</v>
      </c>
      <c r="B83" s="4" t="s">
        <v>86</v>
      </c>
      <c r="C83" s="31">
        <v>7.52</v>
      </c>
      <c r="D83" s="4">
        <v>1996</v>
      </c>
      <c r="E83" s="5" t="s">
        <v>9</v>
      </c>
      <c r="F83" s="5" t="s">
        <v>46</v>
      </c>
      <c r="G83" s="5" t="s">
        <v>265</v>
      </c>
      <c r="H83" s="5" t="s">
        <v>266</v>
      </c>
      <c r="I83" s="5" t="s">
        <v>47</v>
      </c>
      <c r="J83" s="10" t="s">
        <v>218</v>
      </c>
      <c r="K83" s="10" t="s">
        <v>227</v>
      </c>
      <c r="L83" s="10" t="s">
        <v>232</v>
      </c>
      <c r="M83" s="4">
        <v>7.2</v>
      </c>
      <c r="N83" s="4">
        <v>64</v>
      </c>
      <c r="O83" s="4">
        <v>3.6</v>
      </c>
      <c r="P83" s="22">
        <f t="shared" si="8"/>
        <v>6.9333333333333336</v>
      </c>
      <c r="Q83" s="22">
        <f t="shared" si="9"/>
        <v>7.0799999999999992</v>
      </c>
      <c r="R83" s="30">
        <f t="shared" si="10"/>
        <v>7</v>
      </c>
      <c r="S83" s="22">
        <f t="shared" si="11"/>
        <v>3.5</v>
      </c>
      <c r="T83" s="28">
        <v>45828</v>
      </c>
      <c r="U83" s="28" t="s">
        <v>805</v>
      </c>
      <c r="V83">
        <v>110</v>
      </c>
      <c r="W83" t="s">
        <v>975</v>
      </c>
      <c r="X83" t="s">
        <v>967</v>
      </c>
    </row>
    <row r="84" spans="1:198" x14ac:dyDescent="0.25">
      <c r="A84" s="4">
        <v>83</v>
      </c>
      <c r="B84" s="4" t="s">
        <v>380</v>
      </c>
      <c r="C84" s="31">
        <v>7.51</v>
      </c>
      <c r="D84" s="4">
        <v>2007</v>
      </c>
      <c r="E84" s="10" t="s">
        <v>21</v>
      </c>
      <c r="F84" s="10" t="s">
        <v>381</v>
      </c>
      <c r="G84" s="10" t="s">
        <v>217</v>
      </c>
      <c r="H84" s="10" t="s">
        <v>382</v>
      </c>
      <c r="I84" s="10" t="s">
        <v>365</v>
      </c>
      <c r="J84" s="10" t="s">
        <v>218</v>
      </c>
      <c r="K84" s="10" t="s">
        <v>227</v>
      </c>
      <c r="L84" s="10" t="s">
        <v>232</v>
      </c>
      <c r="M84" s="4">
        <v>8</v>
      </c>
      <c r="N84" s="4">
        <v>92</v>
      </c>
      <c r="O84" s="4">
        <v>3.7</v>
      </c>
      <c r="P84" s="22">
        <f t="shared" si="8"/>
        <v>8.2000000000000011</v>
      </c>
      <c r="Q84" s="22">
        <f t="shared" si="9"/>
        <v>8.0274999999999999</v>
      </c>
      <c r="R84" s="30">
        <f t="shared" si="10"/>
        <v>7</v>
      </c>
      <c r="S84" s="22">
        <f t="shared" si="11"/>
        <v>3.5</v>
      </c>
      <c r="T84" s="28">
        <v>45089</v>
      </c>
      <c r="U84" s="28" t="s">
        <v>805</v>
      </c>
      <c r="V84">
        <v>115</v>
      </c>
      <c r="W84" t="s">
        <v>964</v>
      </c>
      <c r="X84" t="s">
        <v>872</v>
      </c>
    </row>
    <row r="85" spans="1:198" x14ac:dyDescent="0.25">
      <c r="A85" s="4">
        <v>84</v>
      </c>
      <c r="B85" s="4">
        <v>21</v>
      </c>
      <c r="C85" s="31">
        <v>7.5</v>
      </c>
      <c r="D85" s="4">
        <v>2008</v>
      </c>
      <c r="E85" s="10" t="s">
        <v>313</v>
      </c>
      <c r="F85" s="10" t="s">
        <v>314</v>
      </c>
      <c r="G85" s="10" t="s">
        <v>58</v>
      </c>
      <c r="H85" s="10" t="s">
        <v>315</v>
      </c>
      <c r="I85" s="10" t="s">
        <v>111</v>
      </c>
      <c r="J85" s="5" t="s">
        <v>626</v>
      </c>
      <c r="K85" t="s">
        <v>225</v>
      </c>
      <c r="L85" t="s">
        <v>219</v>
      </c>
      <c r="M85" s="4">
        <v>6.8</v>
      </c>
      <c r="N85" s="4">
        <v>35</v>
      </c>
      <c r="O85" s="4">
        <v>3.1</v>
      </c>
      <c r="P85" s="22">
        <f t="shared" si="8"/>
        <v>5.5</v>
      </c>
      <c r="Q85" s="22">
        <f t="shared" si="9"/>
        <v>6</v>
      </c>
      <c r="R85" s="30">
        <f t="shared" si="10"/>
        <v>7</v>
      </c>
      <c r="S85" s="22">
        <f t="shared" si="11"/>
        <v>3.5</v>
      </c>
      <c r="T85" s="28">
        <v>44739</v>
      </c>
      <c r="U85" s="28" t="s">
        <v>805</v>
      </c>
      <c r="V85">
        <v>123</v>
      </c>
      <c r="W85" t="s">
        <v>964</v>
      </c>
      <c r="X85" t="s">
        <v>872</v>
      </c>
    </row>
    <row r="86" spans="1:198" x14ac:dyDescent="0.25">
      <c r="A86" s="4">
        <v>85</v>
      </c>
      <c r="B86" s="4" t="s">
        <v>425</v>
      </c>
      <c r="C86" s="31">
        <v>7.4489999999999998</v>
      </c>
      <c r="D86" s="4">
        <v>2012</v>
      </c>
      <c r="E86" s="10" t="s">
        <v>375</v>
      </c>
      <c r="F86" s="10" t="s">
        <v>426</v>
      </c>
      <c r="G86" s="10" t="s">
        <v>14</v>
      </c>
      <c r="H86" s="10" t="s">
        <v>64</v>
      </c>
      <c r="I86" s="10" t="s">
        <v>66</v>
      </c>
      <c r="J86" s="9" t="s">
        <v>219</v>
      </c>
      <c r="K86" s="9" t="s">
        <v>427</v>
      </c>
      <c r="L86" s="9" t="s">
        <v>229</v>
      </c>
      <c r="M86" s="4">
        <v>8.5</v>
      </c>
      <c r="N86" s="4">
        <v>87</v>
      </c>
      <c r="O86" s="4">
        <v>4.3</v>
      </c>
      <c r="P86" s="22">
        <f t="shared" si="8"/>
        <v>8.6</v>
      </c>
      <c r="Q86" s="22">
        <f t="shared" si="9"/>
        <v>8.3122500000000006</v>
      </c>
      <c r="R86" s="30">
        <f t="shared" si="10"/>
        <v>7</v>
      </c>
      <c r="S86" s="22">
        <f t="shared" si="11"/>
        <v>3.5</v>
      </c>
      <c r="T86" s="28">
        <v>44757</v>
      </c>
      <c r="U86" s="28" t="s">
        <v>805</v>
      </c>
      <c r="V86">
        <v>165</v>
      </c>
      <c r="W86" t="s">
        <v>964</v>
      </c>
      <c r="X86" t="s">
        <v>872</v>
      </c>
    </row>
    <row r="87" spans="1:198" x14ac:dyDescent="0.25">
      <c r="A87" s="4">
        <v>86</v>
      </c>
      <c r="B87" s="4" t="s">
        <v>211</v>
      </c>
      <c r="C87" s="31">
        <v>7.44</v>
      </c>
      <c r="D87" s="4">
        <v>2002</v>
      </c>
      <c r="E87" s="10" t="s">
        <v>21</v>
      </c>
      <c r="F87" s="10" t="s">
        <v>214</v>
      </c>
      <c r="G87" s="10" t="s">
        <v>216</v>
      </c>
      <c r="H87" s="10" t="s">
        <v>215</v>
      </c>
      <c r="I87" s="10" t="s">
        <v>367</v>
      </c>
      <c r="J87" s="10" t="s">
        <v>218</v>
      </c>
      <c r="K87" s="10" t="s">
        <v>227</v>
      </c>
      <c r="L87" s="10" t="s">
        <v>232</v>
      </c>
      <c r="M87" s="4">
        <v>7.8</v>
      </c>
      <c r="N87" s="4">
        <v>83</v>
      </c>
      <c r="O87" s="4">
        <v>3.7</v>
      </c>
      <c r="P87" s="22">
        <f t="shared" si="8"/>
        <v>7.833333333333333</v>
      </c>
      <c r="Q87" s="22">
        <f t="shared" si="9"/>
        <v>7.7349999999999994</v>
      </c>
      <c r="R87" s="30">
        <f t="shared" si="10"/>
        <v>7</v>
      </c>
      <c r="S87" s="22">
        <f t="shared" si="11"/>
        <v>3.5</v>
      </c>
      <c r="T87" s="28">
        <v>45106</v>
      </c>
      <c r="U87" s="28" t="s">
        <v>805</v>
      </c>
      <c r="V87">
        <v>119</v>
      </c>
      <c r="W87" t="s">
        <v>964</v>
      </c>
      <c r="X87" t="s">
        <v>872</v>
      </c>
    </row>
    <row r="88" spans="1:198" x14ac:dyDescent="0.25">
      <c r="A88" s="4">
        <v>87</v>
      </c>
      <c r="B88" s="4" t="s">
        <v>760</v>
      </c>
      <c r="C88" s="31">
        <v>7.43</v>
      </c>
      <c r="D88" s="4">
        <v>2000</v>
      </c>
      <c r="E88" s="10" t="s">
        <v>457</v>
      </c>
      <c r="F88" s="10" t="s">
        <v>856</v>
      </c>
      <c r="G88" s="10" t="s">
        <v>857</v>
      </c>
      <c r="H88" s="10" t="s">
        <v>904</v>
      </c>
      <c r="I88" s="10" t="s">
        <v>41</v>
      </c>
      <c r="J88" s="10" t="s">
        <v>227</v>
      </c>
      <c r="K88" s="10" t="s">
        <v>226</v>
      </c>
      <c r="M88" s="4">
        <v>8.4</v>
      </c>
      <c r="N88" s="4">
        <v>94</v>
      </c>
      <c r="O88" s="4">
        <v>4.2</v>
      </c>
      <c r="P88" s="22">
        <f t="shared" si="8"/>
        <v>8.7333333333333343</v>
      </c>
      <c r="Q88" s="22">
        <f t="shared" si="9"/>
        <v>8.4075000000000006</v>
      </c>
      <c r="R88" s="30">
        <f t="shared" si="10"/>
        <v>7</v>
      </c>
      <c r="S88" s="22">
        <f t="shared" si="11"/>
        <v>3.5</v>
      </c>
      <c r="T88" s="28">
        <v>45838</v>
      </c>
      <c r="U88" s="28" t="s">
        <v>805</v>
      </c>
      <c r="V88">
        <v>116</v>
      </c>
      <c r="W88" t="s">
        <v>964</v>
      </c>
      <c r="X88" t="s">
        <v>960</v>
      </c>
    </row>
    <row r="89" spans="1:198" s="9" customFormat="1" x14ac:dyDescent="0.25">
      <c r="A89" s="4">
        <v>88</v>
      </c>
      <c r="B89" s="4">
        <v>1917</v>
      </c>
      <c r="C89" s="31">
        <v>7.42</v>
      </c>
      <c r="D89" s="4">
        <v>2019</v>
      </c>
      <c r="E89" s="10" t="s">
        <v>723</v>
      </c>
      <c r="F89" s="10" t="s">
        <v>724</v>
      </c>
      <c r="G89" s="10" t="s">
        <v>725</v>
      </c>
      <c r="H89" s="10" t="s">
        <v>494</v>
      </c>
      <c r="I89" s="10" t="s">
        <v>492</v>
      </c>
      <c r="J89" s="10" t="s">
        <v>236</v>
      </c>
      <c r="K89" s="10" t="s">
        <v>219</v>
      </c>
      <c r="L89" t="s">
        <v>218</v>
      </c>
      <c r="M89" s="4">
        <v>8.1999999999999993</v>
      </c>
      <c r="N89" s="4">
        <v>89</v>
      </c>
      <c r="O89" s="4">
        <v>4.0999999999999996</v>
      </c>
      <c r="P89" s="22">
        <f t="shared" si="8"/>
        <v>8.4333333333333336</v>
      </c>
      <c r="Q89" s="22">
        <f t="shared" si="9"/>
        <v>8.18</v>
      </c>
      <c r="R89" s="30">
        <f t="shared" si="10"/>
        <v>7</v>
      </c>
      <c r="S89" s="22">
        <f t="shared" si="11"/>
        <v>3.5</v>
      </c>
      <c r="T89" s="28">
        <v>45723</v>
      </c>
      <c r="U89" s="28" t="s">
        <v>805</v>
      </c>
      <c r="V89">
        <v>119</v>
      </c>
      <c r="W89" t="s">
        <v>964</v>
      </c>
      <c r="X89" t="s">
        <v>970</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25">
      <c r="A90" s="4">
        <v>89</v>
      </c>
      <c r="B90" s="4" t="s">
        <v>94</v>
      </c>
      <c r="C90" s="31">
        <v>7.41</v>
      </c>
      <c r="D90" s="4">
        <v>1996</v>
      </c>
      <c r="E90" s="5" t="s">
        <v>9</v>
      </c>
      <c r="F90" s="10" t="s">
        <v>296</v>
      </c>
      <c r="G90" s="10" t="s">
        <v>297</v>
      </c>
      <c r="H90" s="10" t="s">
        <v>298</v>
      </c>
      <c r="I90" s="10" t="s">
        <v>95</v>
      </c>
      <c r="J90" t="s">
        <v>220</v>
      </c>
      <c r="K90" t="s">
        <v>229</v>
      </c>
      <c r="L90" s="10" t="s">
        <v>231</v>
      </c>
      <c r="M90" s="4">
        <v>7.3</v>
      </c>
      <c r="N90" s="4">
        <v>84</v>
      </c>
      <c r="O90" s="4">
        <v>3.6</v>
      </c>
      <c r="P90" s="22">
        <f t="shared" si="8"/>
        <v>7.6333333333333329</v>
      </c>
      <c r="Q90" s="22">
        <f t="shared" si="9"/>
        <v>7.5774999999999997</v>
      </c>
      <c r="R90" s="30">
        <f t="shared" si="10"/>
        <v>7</v>
      </c>
      <c r="S90" s="22">
        <f t="shared" si="11"/>
        <v>3.5</v>
      </c>
      <c r="T90" s="28">
        <v>45056</v>
      </c>
      <c r="U90" s="28" t="s">
        <v>805</v>
      </c>
      <c r="V90">
        <v>139</v>
      </c>
      <c r="W90" t="s">
        <v>964</v>
      </c>
      <c r="X90" t="s">
        <v>872</v>
      </c>
    </row>
    <row r="91" spans="1:198" x14ac:dyDescent="0.25">
      <c r="A91" s="4">
        <v>90</v>
      </c>
      <c r="B91" s="4" t="s">
        <v>871</v>
      </c>
      <c r="C91" s="31">
        <v>7.3490000000000002</v>
      </c>
      <c r="D91" s="4">
        <v>2005</v>
      </c>
      <c r="E91" s="10" t="s">
        <v>57</v>
      </c>
      <c r="F91" s="10" t="s">
        <v>812</v>
      </c>
      <c r="G91" s="10" t="s">
        <v>96</v>
      </c>
      <c r="H91" s="10" t="s">
        <v>945</v>
      </c>
      <c r="I91" s="10" t="s">
        <v>367</v>
      </c>
      <c r="J91" s="10" t="s">
        <v>225</v>
      </c>
      <c r="K91" s="10" t="s">
        <v>218</v>
      </c>
      <c r="L91" s="10" t="s">
        <v>231</v>
      </c>
      <c r="M91" s="4">
        <v>6.5</v>
      </c>
      <c r="N91" s="4">
        <v>60</v>
      </c>
      <c r="O91" s="4">
        <v>3.3</v>
      </c>
      <c r="P91" s="22">
        <f t="shared" si="8"/>
        <v>6.3666666666666671</v>
      </c>
      <c r="Q91" s="22">
        <f t="shared" si="9"/>
        <v>6.6122499999999995</v>
      </c>
      <c r="R91" s="30">
        <f t="shared" si="10"/>
        <v>7</v>
      </c>
      <c r="S91" s="22">
        <f t="shared" si="11"/>
        <v>3.5</v>
      </c>
      <c r="T91" s="28">
        <v>45955</v>
      </c>
      <c r="U91" s="28" t="s">
        <v>805</v>
      </c>
      <c r="V91">
        <v>115</v>
      </c>
      <c r="W91" t="s">
        <v>964</v>
      </c>
      <c r="X91" t="s">
        <v>872</v>
      </c>
    </row>
    <row r="92" spans="1:198" x14ac:dyDescent="0.25">
      <c r="A92" s="4">
        <v>91</v>
      </c>
      <c r="B92" s="4" t="s">
        <v>794</v>
      </c>
      <c r="C92" s="31">
        <v>7.34</v>
      </c>
      <c r="D92" s="4">
        <v>2004</v>
      </c>
      <c r="E92" s="5" t="s">
        <v>96</v>
      </c>
      <c r="F92" s="10" t="s">
        <v>97</v>
      </c>
      <c r="G92" s="10" t="s">
        <v>270</v>
      </c>
      <c r="H92" s="10" t="s">
        <v>271</v>
      </c>
      <c r="I92" s="10" t="s">
        <v>141</v>
      </c>
      <c r="J92" s="5" t="s">
        <v>229</v>
      </c>
      <c r="K92" s="5" t="s">
        <v>220</v>
      </c>
      <c r="L92" s="5"/>
      <c r="M92" s="4">
        <v>6.7</v>
      </c>
      <c r="N92" s="4">
        <v>71</v>
      </c>
      <c r="O92" s="4">
        <v>3.2</v>
      </c>
      <c r="P92" s="22">
        <f t="shared" si="8"/>
        <v>6.7333333333333343</v>
      </c>
      <c r="Q92" s="22">
        <f t="shared" si="9"/>
        <v>6.8849999999999998</v>
      </c>
      <c r="R92" s="30">
        <f t="shared" si="10"/>
        <v>7</v>
      </c>
      <c r="S92" s="22">
        <f t="shared" si="11"/>
        <v>3.5</v>
      </c>
      <c r="T92" s="28">
        <v>44722</v>
      </c>
      <c r="U92" s="28" t="s">
        <v>805</v>
      </c>
      <c r="V92">
        <v>92</v>
      </c>
      <c r="W92" t="s">
        <v>964</v>
      </c>
      <c r="X92" t="s">
        <v>872</v>
      </c>
    </row>
    <row r="93" spans="1:198" x14ac:dyDescent="0.25">
      <c r="A93" s="4">
        <v>92</v>
      </c>
      <c r="B93" s="4">
        <v>300</v>
      </c>
      <c r="C93" s="31">
        <v>7.33</v>
      </c>
      <c r="D93" s="4">
        <v>2006</v>
      </c>
      <c r="E93" s="10" t="s">
        <v>981</v>
      </c>
      <c r="F93" s="10" t="s">
        <v>822</v>
      </c>
      <c r="G93" s="10" t="s">
        <v>982</v>
      </c>
      <c r="H93" s="10" t="s">
        <v>821</v>
      </c>
      <c r="I93" s="10" t="s">
        <v>104</v>
      </c>
      <c r="J93" s="10" t="s">
        <v>219</v>
      </c>
      <c r="K93" s="10" t="s">
        <v>218</v>
      </c>
      <c r="L93" s="10" t="s">
        <v>715</v>
      </c>
      <c r="M93" s="4">
        <v>7.6</v>
      </c>
      <c r="N93" s="4">
        <v>61</v>
      </c>
      <c r="O93" s="4">
        <v>3.4</v>
      </c>
      <c r="P93" s="22">
        <f t="shared" si="8"/>
        <v>6.833333333333333</v>
      </c>
      <c r="Q93" s="22">
        <f t="shared" si="9"/>
        <v>6.9575000000000005</v>
      </c>
      <c r="R93" s="30">
        <f t="shared" si="10"/>
        <v>7</v>
      </c>
      <c r="S93" s="22">
        <f t="shared" si="11"/>
        <v>3.5</v>
      </c>
      <c r="T93" s="28">
        <v>46044</v>
      </c>
      <c r="U93" s="28" t="s">
        <v>805</v>
      </c>
      <c r="V93">
        <v>117</v>
      </c>
      <c r="W93" t="s">
        <v>964</v>
      </c>
      <c r="X93" t="s">
        <v>968</v>
      </c>
    </row>
    <row r="94" spans="1:198" x14ac:dyDescent="0.25">
      <c r="A94" s="4">
        <v>93</v>
      </c>
      <c r="B94" s="4" t="s">
        <v>190</v>
      </c>
      <c r="C94" s="31">
        <v>7.32</v>
      </c>
      <c r="D94" s="4">
        <v>1998</v>
      </c>
      <c r="E94" s="10" t="s">
        <v>78</v>
      </c>
      <c r="F94" s="5" t="s">
        <v>15</v>
      </c>
      <c r="G94" s="5" t="s">
        <v>199</v>
      </c>
      <c r="H94" s="5" t="s">
        <v>417</v>
      </c>
      <c r="I94" s="5" t="s">
        <v>76</v>
      </c>
      <c r="J94" s="5" t="s">
        <v>229</v>
      </c>
      <c r="M94" s="4">
        <v>8.1999999999999993</v>
      </c>
      <c r="N94" s="4">
        <v>95</v>
      </c>
      <c r="O94" s="4">
        <v>3.9</v>
      </c>
      <c r="P94" s="22">
        <f t="shared" si="8"/>
        <v>8.5</v>
      </c>
      <c r="Q94" s="22">
        <f t="shared" si="9"/>
        <v>8.2050000000000001</v>
      </c>
      <c r="R94" s="30">
        <f t="shared" si="10"/>
        <v>7</v>
      </c>
      <c r="S94" s="22">
        <f t="shared" si="11"/>
        <v>3.5</v>
      </c>
      <c r="T94" s="28">
        <v>45071</v>
      </c>
      <c r="U94" s="28" t="s">
        <v>805</v>
      </c>
      <c r="V94">
        <v>103</v>
      </c>
      <c r="W94" t="s">
        <v>969</v>
      </c>
      <c r="X94" t="s">
        <v>967</v>
      </c>
    </row>
    <row r="95" spans="1:198" x14ac:dyDescent="0.25">
      <c r="A95" s="4">
        <v>94</v>
      </c>
      <c r="B95" s="4" t="s">
        <v>74</v>
      </c>
      <c r="C95" s="31">
        <v>7.31</v>
      </c>
      <c r="D95" s="4">
        <v>2007</v>
      </c>
      <c r="E95" s="5" t="s">
        <v>75</v>
      </c>
      <c r="F95" s="10" t="s">
        <v>191</v>
      </c>
      <c r="G95" s="10" t="s">
        <v>302</v>
      </c>
      <c r="H95" s="10" t="s">
        <v>252</v>
      </c>
      <c r="I95" s="10" t="s">
        <v>192</v>
      </c>
      <c r="J95" s="10" t="s">
        <v>219</v>
      </c>
      <c r="K95" s="10" t="s">
        <v>229</v>
      </c>
      <c r="M95" s="4">
        <v>7.6</v>
      </c>
      <c r="N95" s="4">
        <v>88</v>
      </c>
      <c r="O95" s="4">
        <v>4.2</v>
      </c>
      <c r="P95" s="22">
        <f t="shared" si="8"/>
        <v>8.2666666666666657</v>
      </c>
      <c r="Q95" s="22">
        <f t="shared" si="9"/>
        <v>8.0274999999999999</v>
      </c>
      <c r="R95" s="30">
        <f t="shared" si="10"/>
        <v>7</v>
      </c>
      <c r="S95" s="22">
        <f t="shared" si="11"/>
        <v>3.5</v>
      </c>
      <c r="T95" s="28">
        <v>44433</v>
      </c>
      <c r="U95" s="28" t="s">
        <v>805</v>
      </c>
      <c r="V95">
        <v>113</v>
      </c>
      <c r="W95" t="s">
        <v>964</v>
      </c>
      <c r="X95" t="s">
        <v>872</v>
      </c>
    </row>
    <row r="96" spans="1:198" x14ac:dyDescent="0.25">
      <c r="A96" s="4">
        <v>95</v>
      </c>
      <c r="B96" s="4" t="s">
        <v>813</v>
      </c>
      <c r="C96" s="31">
        <v>7.2489999999999997</v>
      </c>
      <c r="D96" s="4">
        <v>1989</v>
      </c>
      <c r="E96" s="5" t="s">
        <v>829</v>
      </c>
      <c r="F96" s="10" t="s">
        <v>848</v>
      </c>
      <c r="G96" s="10" t="s">
        <v>893</v>
      </c>
      <c r="H96" s="10" t="s">
        <v>878</v>
      </c>
      <c r="I96" s="10" t="s">
        <v>894</v>
      </c>
      <c r="J96" s="10" t="s">
        <v>220</v>
      </c>
      <c r="K96" s="10" t="s">
        <v>229</v>
      </c>
      <c r="M96" s="4">
        <v>7.2</v>
      </c>
      <c r="N96" s="4">
        <v>83</v>
      </c>
      <c r="O96" s="4">
        <v>3.5</v>
      </c>
      <c r="P96" s="22">
        <f t="shared" si="8"/>
        <v>7.5</v>
      </c>
      <c r="Q96" s="22">
        <f t="shared" si="9"/>
        <v>7.4372500000000006</v>
      </c>
      <c r="R96" s="30">
        <f t="shared" si="10"/>
        <v>7</v>
      </c>
      <c r="S96" s="22">
        <f t="shared" si="11"/>
        <v>3.5</v>
      </c>
      <c r="T96" s="28">
        <v>45828</v>
      </c>
      <c r="U96" s="28" t="s">
        <v>805</v>
      </c>
      <c r="V96">
        <v>106</v>
      </c>
      <c r="W96" t="s">
        <v>964</v>
      </c>
      <c r="X96" t="s">
        <v>960</v>
      </c>
    </row>
    <row r="97" spans="1:24" x14ac:dyDescent="0.25">
      <c r="A97" s="4">
        <v>96</v>
      </c>
      <c r="B97" s="4" t="s">
        <v>184</v>
      </c>
      <c r="C97" s="31">
        <v>7.24</v>
      </c>
      <c r="D97" s="4">
        <v>2022</v>
      </c>
      <c r="E97" s="10" t="s">
        <v>49</v>
      </c>
      <c r="F97" s="10" t="s">
        <v>187</v>
      </c>
      <c r="G97" s="10" t="s">
        <v>30</v>
      </c>
      <c r="H97" s="10" t="s">
        <v>188</v>
      </c>
      <c r="I97" s="10" t="s">
        <v>189</v>
      </c>
      <c r="J97" s="10" t="s">
        <v>220</v>
      </c>
      <c r="K97" s="10" t="s">
        <v>229</v>
      </c>
      <c r="L97" s="10" t="s">
        <v>219</v>
      </c>
      <c r="M97" s="4">
        <v>7.3</v>
      </c>
      <c r="N97" s="4">
        <v>63</v>
      </c>
      <c r="O97" s="4">
        <v>3.6</v>
      </c>
      <c r="P97" s="22">
        <f t="shared" si="8"/>
        <v>6.9333333333333336</v>
      </c>
      <c r="Q97" s="22">
        <f t="shared" si="9"/>
        <v>7.01</v>
      </c>
      <c r="R97" s="30">
        <f t="shared" si="10"/>
        <v>7</v>
      </c>
      <c r="S97" s="22">
        <f t="shared" si="11"/>
        <v>3.5</v>
      </c>
      <c r="T97" s="28">
        <v>44737</v>
      </c>
      <c r="U97" s="28" t="s">
        <v>805</v>
      </c>
      <c r="V97">
        <v>117</v>
      </c>
      <c r="W97" t="s">
        <v>964</v>
      </c>
      <c r="X97" t="s">
        <v>872</v>
      </c>
    </row>
    <row r="98" spans="1:24" x14ac:dyDescent="0.25">
      <c r="A98" s="4">
        <v>97</v>
      </c>
      <c r="B98" s="4" t="s">
        <v>956</v>
      </c>
      <c r="C98" s="31">
        <v>7.23</v>
      </c>
      <c r="D98" s="4">
        <v>2025</v>
      </c>
      <c r="E98" s="5" t="s">
        <v>597</v>
      </c>
      <c r="F98" s="10" t="s">
        <v>949</v>
      </c>
      <c r="G98" s="10" t="s">
        <v>957</v>
      </c>
      <c r="H98" s="10" t="s">
        <v>958</v>
      </c>
      <c r="I98" s="10" t="s">
        <v>865</v>
      </c>
      <c r="J98" s="10" t="s">
        <v>220</v>
      </c>
      <c r="K98" s="10" t="s">
        <v>219</v>
      </c>
      <c r="L98" s="10" t="s">
        <v>715</v>
      </c>
      <c r="M98" s="4">
        <v>8.1999999999999993</v>
      </c>
      <c r="N98" s="4">
        <v>93</v>
      </c>
      <c r="O98" s="4">
        <v>4.3</v>
      </c>
      <c r="P98" s="22">
        <f t="shared" ref="P98:P129" si="12">(M98+(N98/10)+(O98*2))/3</f>
        <v>8.7000000000000011</v>
      </c>
      <c r="Q98" s="22">
        <f t="shared" ref="Q98:Q129" si="13">(M98+C98+(N98/10)+(O98*2))/4</f>
        <v>8.3324999999999996</v>
      </c>
      <c r="R98" s="30">
        <f t="shared" ref="R98:R129" si="14">IF(C98&gt;=9.5,10,
IF(C98&gt;=9,9,
IF(C98&gt;=8,8,
IF(C98&gt;=7,7,
IF(C98&gt;=6,6,
IF(C98&gt;=5,5,
IF(C98&gt;=4,4,
IF(C98&gt;=3,3,
IF(C98&gt;=1.5,2,
IF(C98&gt;=0,1,""))))))))))</f>
        <v>7</v>
      </c>
      <c r="S98" s="22">
        <f t="shared" ref="S98:S129" si="15">IF(C98&gt;=9.5,5,
IF(C98&gt;=9,4.5,
IF(C98&gt;=8,4,
IF(C98&gt;=7,3.5,
IF(C98&gt;=6,3,
IF(C98&gt;=5,2.5,
IF(C98&gt;=4,2,
IF(C98&gt;=3,1.5,
IF(C98&gt;=1.5,1,
IF(C98&gt;=0,0.5,""))))))))))</f>
        <v>3.5</v>
      </c>
      <c r="T98" s="28">
        <v>46038</v>
      </c>
      <c r="U98" s="28" t="s">
        <v>805</v>
      </c>
      <c r="V98">
        <v>149</v>
      </c>
      <c r="W98" t="s">
        <v>969</v>
      </c>
      <c r="X98" t="s">
        <v>955</v>
      </c>
    </row>
    <row r="99" spans="1:24" x14ac:dyDescent="0.25">
      <c r="A99" s="4">
        <v>98</v>
      </c>
      <c r="B99" s="4" t="s">
        <v>487</v>
      </c>
      <c r="C99" s="31">
        <v>7.22</v>
      </c>
      <c r="D99" s="4">
        <v>2012</v>
      </c>
      <c r="E99" s="5" t="s">
        <v>82</v>
      </c>
      <c r="F99" s="10" t="s">
        <v>307</v>
      </c>
      <c r="G99" s="10" t="s">
        <v>490</v>
      </c>
      <c r="H99" s="10" t="s">
        <v>491</v>
      </c>
      <c r="I99" s="10" t="s">
        <v>492</v>
      </c>
      <c r="J99" s="10" t="s">
        <v>218</v>
      </c>
      <c r="K99" s="10" t="s">
        <v>227</v>
      </c>
      <c r="L99" s="10" t="s">
        <v>232</v>
      </c>
      <c r="M99" s="4">
        <v>7.8</v>
      </c>
      <c r="N99" s="4">
        <v>92</v>
      </c>
      <c r="O99" s="4">
        <v>3.9</v>
      </c>
      <c r="P99" s="22">
        <f t="shared" si="12"/>
        <v>8.2666666666666675</v>
      </c>
      <c r="Q99" s="22">
        <f t="shared" si="13"/>
        <v>8.004999999999999</v>
      </c>
      <c r="R99" s="30">
        <f t="shared" si="14"/>
        <v>7</v>
      </c>
      <c r="S99" s="22">
        <f t="shared" si="15"/>
        <v>3.5</v>
      </c>
      <c r="T99" s="28">
        <v>45116</v>
      </c>
      <c r="U99" s="28" t="s">
        <v>805</v>
      </c>
      <c r="V99">
        <v>143</v>
      </c>
      <c r="W99" t="s">
        <v>964</v>
      </c>
      <c r="X99" t="s">
        <v>872</v>
      </c>
    </row>
    <row r="100" spans="1:24" x14ac:dyDescent="0.25">
      <c r="A100" s="4">
        <v>99</v>
      </c>
      <c r="B100" s="4" t="s">
        <v>780</v>
      </c>
      <c r="C100" s="31">
        <v>7.21</v>
      </c>
      <c r="D100" s="4">
        <v>2012</v>
      </c>
      <c r="E100" s="10" t="s">
        <v>71</v>
      </c>
      <c r="F100" s="10" t="s">
        <v>909</v>
      </c>
      <c r="G100" s="10" t="s">
        <v>325</v>
      </c>
      <c r="H100" s="10" t="s">
        <v>551</v>
      </c>
      <c r="I100" s="10" t="s">
        <v>779</v>
      </c>
      <c r="J100" s="10" t="s">
        <v>236</v>
      </c>
      <c r="K100" s="10" t="s">
        <v>227</v>
      </c>
      <c r="L100" s="10" t="s">
        <v>219</v>
      </c>
      <c r="M100" s="4">
        <v>7.4</v>
      </c>
      <c r="N100" s="4">
        <v>91</v>
      </c>
      <c r="O100" s="4">
        <v>3.7</v>
      </c>
      <c r="P100" s="22">
        <f t="shared" si="12"/>
        <v>7.9666666666666659</v>
      </c>
      <c r="Q100" s="22">
        <f t="shared" si="13"/>
        <v>7.7774999999999999</v>
      </c>
      <c r="R100" s="30">
        <f t="shared" si="14"/>
        <v>7</v>
      </c>
      <c r="S100" s="22">
        <f t="shared" si="15"/>
        <v>3.5</v>
      </c>
      <c r="T100" s="28">
        <v>45859</v>
      </c>
      <c r="U100" s="28" t="s">
        <v>805</v>
      </c>
      <c r="V100">
        <v>157</v>
      </c>
      <c r="W100" t="s">
        <v>964</v>
      </c>
      <c r="X100" t="s">
        <v>872</v>
      </c>
    </row>
    <row r="101" spans="1:24" x14ac:dyDescent="0.25">
      <c r="A101" s="4">
        <v>100</v>
      </c>
      <c r="B101" s="4" t="s">
        <v>461</v>
      </c>
      <c r="C101" s="31">
        <v>7.14</v>
      </c>
      <c r="D101" s="4">
        <v>1997</v>
      </c>
      <c r="E101" s="10" t="s">
        <v>44</v>
      </c>
      <c r="F101" s="10" t="s">
        <v>462</v>
      </c>
      <c r="G101" s="10" t="s">
        <v>430</v>
      </c>
      <c r="H101" s="10" t="s">
        <v>463</v>
      </c>
      <c r="I101" s="10" t="s">
        <v>464</v>
      </c>
      <c r="J101" s="10" t="s">
        <v>225</v>
      </c>
      <c r="K101" s="10" t="s">
        <v>219</v>
      </c>
      <c r="L101" s="10" t="s">
        <v>717</v>
      </c>
      <c r="M101" s="4">
        <v>7.7</v>
      </c>
      <c r="N101" s="4">
        <v>88</v>
      </c>
      <c r="O101" s="4">
        <v>3.8</v>
      </c>
      <c r="P101" s="22">
        <f t="shared" si="12"/>
        <v>8.0333333333333332</v>
      </c>
      <c r="Q101" s="22">
        <f t="shared" si="13"/>
        <v>7.8100000000000005</v>
      </c>
      <c r="R101" s="30">
        <f t="shared" si="14"/>
        <v>7</v>
      </c>
      <c r="S101" s="22">
        <f t="shared" si="15"/>
        <v>3.5</v>
      </c>
      <c r="T101" s="28">
        <v>45106</v>
      </c>
      <c r="U101" s="28" t="s">
        <v>805</v>
      </c>
      <c r="V101">
        <v>127</v>
      </c>
      <c r="W101" t="s">
        <v>964</v>
      </c>
      <c r="X101" t="s">
        <v>872</v>
      </c>
    </row>
    <row r="102" spans="1:24" x14ac:dyDescent="0.25">
      <c r="A102" s="4">
        <v>101</v>
      </c>
      <c r="B102" s="4" t="s">
        <v>770</v>
      </c>
      <c r="C102" s="31">
        <v>7.13</v>
      </c>
      <c r="D102" s="4">
        <v>2013</v>
      </c>
      <c r="E102" s="10" t="s">
        <v>96</v>
      </c>
      <c r="F102" s="10" t="s">
        <v>165</v>
      </c>
      <c r="G102" s="10" t="s">
        <v>906</v>
      </c>
      <c r="H102" s="10" t="s">
        <v>908</v>
      </c>
      <c r="I102" s="10" t="s">
        <v>746</v>
      </c>
      <c r="J102" s="10" t="s">
        <v>229</v>
      </c>
      <c r="M102" s="4">
        <v>6.3</v>
      </c>
      <c r="N102" s="4">
        <v>34</v>
      </c>
      <c r="O102" s="4">
        <v>2.9</v>
      </c>
      <c r="P102" s="22">
        <f t="shared" si="12"/>
        <v>5.166666666666667</v>
      </c>
      <c r="Q102" s="22">
        <f t="shared" si="13"/>
        <v>5.6574999999999998</v>
      </c>
      <c r="R102" s="30">
        <f t="shared" si="14"/>
        <v>7</v>
      </c>
      <c r="S102" s="22">
        <f t="shared" si="15"/>
        <v>3.5</v>
      </c>
      <c r="T102" s="28">
        <v>45933</v>
      </c>
      <c r="U102" s="28" t="s">
        <v>805</v>
      </c>
      <c r="V102">
        <v>119</v>
      </c>
      <c r="W102" t="s">
        <v>964</v>
      </c>
      <c r="X102" t="s">
        <v>960</v>
      </c>
    </row>
    <row r="103" spans="1:24" x14ac:dyDescent="0.25">
      <c r="A103" s="4">
        <v>102</v>
      </c>
      <c r="B103" s="4" t="s">
        <v>747</v>
      </c>
      <c r="C103" s="31">
        <v>7.12</v>
      </c>
      <c r="D103" s="4">
        <v>2011</v>
      </c>
      <c r="E103" s="10" t="s">
        <v>880</v>
      </c>
      <c r="F103" s="10" t="s">
        <v>881</v>
      </c>
      <c r="G103" s="10" t="s">
        <v>882</v>
      </c>
      <c r="H103" s="10" t="s">
        <v>883</v>
      </c>
      <c r="I103" s="10" t="s">
        <v>884</v>
      </c>
      <c r="J103" s="10" t="s">
        <v>229</v>
      </c>
      <c r="K103" s="10" t="s">
        <v>219</v>
      </c>
      <c r="M103" s="4">
        <v>8.5</v>
      </c>
      <c r="N103" s="4">
        <v>75</v>
      </c>
      <c r="O103" s="4">
        <v>4.0999999999999996</v>
      </c>
      <c r="P103" s="22">
        <f t="shared" si="12"/>
        <v>8.0666666666666664</v>
      </c>
      <c r="Q103" s="22">
        <f t="shared" si="13"/>
        <v>7.83</v>
      </c>
      <c r="R103" s="30">
        <f t="shared" si="14"/>
        <v>7</v>
      </c>
      <c r="S103" s="22">
        <f t="shared" si="15"/>
        <v>3.5</v>
      </c>
      <c r="T103" s="28">
        <v>45779</v>
      </c>
      <c r="U103" s="28" t="s">
        <v>886</v>
      </c>
      <c r="V103">
        <v>112</v>
      </c>
      <c r="W103" t="s">
        <v>964</v>
      </c>
      <c r="X103" t="s">
        <v>970</v>
      </c>
    </row>
    <row r="104" spans="1:24" x14ac:dyDescent="0.25">
      <c r="A104" s="4">
        <v>103</v>
      </c>
      <c r="B104" s="4" t="s">
        <v>862</v>
      </c>
      <c r="C104" s="31">
        <v>7.11</v>
      </c>
      <c r="D104" s="4">
        <v>2017</v>
      </c>
      <c r="E104" s="10" t="s">
        <v>403</v>
      </c>
      <c r="F104" s="10" t="s">
        <v>608</v>
      </c>
      <c r="G104" s="10" t="s">
        <v>359</v>
      </c>
      <c r="H104" s="10" t="s">
        <v>888</v>
      </c>
      <c r="I104" s="10" t="s">
        <v>750</v>
      </c>
      <c r="J104" s="10" t="s">
        <v>229</v>
      </c>
      <c r="K104" s="10" t="s">
        <v>219</v>
      </c>
      <c r="M104" s="4">
        <v>7</v>
      </c>
      <c r="N104" s="4">
        <v>42</v>
      </c>
      <c r="O104" s="4">
        <v>3.3</v>
      </c>
      <c r="P104" s="22">
        <f t="shared" si="12"/>
        <v>5.9333333333333327</v>
      </c>
      <c r="Q104" s="22">
        <f t="shared" si="13"/>
        <v>6.2274999999999991</v>
      </c>
      <c r="R104" s="30">
        <f t="shared" si="14"/>
        <v>7</v>
      </c>
      <c r="S104" s="22">
        <f t="shared" si="15"/>
        <v>3.5</v>
      </c>
      <c r="T104" s="28">
        <v>45779</v>
      </c>
      <c r="U104" s="28" t="s">
        <v>805</v>
      </c>
      <c r="V104">
        <v>126</v>
      </c>
      <c r="W104" t="s">
        <v>964</v>
      </c>
      <c r="X104" t="s">
        <v>960</v>
      </c>
    </row>
    <row r="105" spans="1:24" x14ac:dyDescent="0.25">
      <c r="A105" s="4">
        <v>104</v>
      </c>
      <c r="B105" s="4" t="s">
        <v>879</v>
      </c>
      <c r="C105" s="31">
        <v>7.04</v>
      </c>
      <c r="D105" s="4">
        <v>2007</v>
      </c>
      <c r="E105" s="5" t="s">
        <v>96</v>
      </c>
      <c r="F105" s="10" t="s">
        <v>823</v>
      </c>
      <c r="G105" s="10" t="s">
        <v>58</v>
      </c>
      <c r="H105" s="10" t="s">
        <v>446</v>
      </c>
      <c r="I105" s="10" t="s">
        <v>166</v>
      </c>
      <c r="J105" s="10" t="s">
        <v>707</v>
      </c>
      <c r="K105" s="10" t="s">
        <v>235</v>
      </c>
      <c r="L105" s="10" t="s">
        <v>229</v>
      </c>
      <c r="M105" s="4">
        <v>5.7</v>
      </c>
      <c r="N105" s="4">
        <v>20</v>
      </c>
      <c r="O105" s="4">
        <v>2.6</v>
      </c>
      <c r="P105" s="22">
        <f t="shared" si="12"/>
        <v>4.3</v>
      </c>
      <c r="Q105" s="22">
        <f t="shared" si="13"/>
        <v>4.9850000000000003</v>
      </c>
      <c r="R105" s="30">
        <f t="shared" si="14"/>
        <v>7</v>
      </c>
      <c r="S105" s="22">
        <f t="shared" si="15"/>
        <v>3.5</v>
      </c>
      <c r="T105" s="28">
        <v>46015</v>
      </c>
      <c r="U105" s="28" t="s">
        <v>805</v>
      </c>
      <c r="V105">
        <v>116</v>
      </c>
      <c r="W105" t="s">
        <v>964</v>
      </c>
      <c r="X105" t="s">
        <v>960</v>
      </c>
    </row>
    <row r="106" spans="1:24" x14ac:dyDescent="0.25">
      <c r="A106" s="4">
        <v>105</v>
      </c>
      <c r="B106" s="4" t="s">
        <v>749</v>
      </c>
      <c r="C106" s="31">
        <v>7.03</v>
      </c>
      <c r="D106" s="4">
        <v>1995</v>
      </c>
      <c r="E106" s="10" t="s">
        <v>58</v>
      </c>
      <c r="F106" s="10" t="s">
        <v>940</v>
      </c>
      <c r="G106" s="10" t="s">
        <v>827</v>
      </c>
      <c r="H106" s="10" t="s">
        <v>858</v>
      </c>
      <c r="I106" s="10" t="s">
        <v>748</v>
      </c>
      <c r="J106" s="10" t="s">
        <v>225</v>
      </c>
      <c r="K106" s="10" t="s">
        <v>219</v>
      </c>
      <c r="L106" s="10" t="s">
        <v>226</v>
      </c>
      <c r="M106" s="4">
        <v>8.5</v>
      </c>
      <c r="N106" s="4">
        <v>87</v>
      </c>
      <c r="O106" s="4">
        <v>4.0999999999999996</v>
      </c>
      <c r="P106" s="22">
        <f t="shared" si="12"/>
        <v>8.4666666666666668</v>
      </c>
      <c r="Q106" s="22">
        <f t="shared" si="13"/>
        <v>8.1074999999999999</v>
      </c>
      <c r="R106" s="30">
        <f t="shared" si="14"/>
        <v>7</v>
      </c>
      <c r="S106" s="22">
        <f t="shared" si="15"/>
        <v>3.5</v>
      </c>
      <c r="T106" s="28">
        <v>45925</v>
      </c>
      <c r="U106" s="28" t="s">
        <v>805</v>
      </c>
      <c r="V106">
        <v>106</v>
      </c>
      <c r="W106" t="s">
        <v>964</v>
      </c>
      <c r="X106" t="s">
        <v>872</v>
      </c>
    </row>
    <row r="107" spans="1:24" x14ac:dyDescent="0.25">
      <c r="A107" s="4">
        <v>106</v>
      </c>
      <c r="B107" s="4" t="s">
        <v>195</v>
      </c>
      <c r="C107" s="31">
        <v>7.02</v>
      </c>
      <c r="D107" s="4">
        <v>2014</v>
      </c>
      <c r="E107" s="5" t="s">
        <v>72</v>
      </c>
      <c r="F107" s="10" t="s">
        <v>200</v>
      </c>
      <c r="G107" s="10" t="s">
        <v>201</v>
      </c>
      <c r="H107" s="10" t="s">
        <v>326</v>
      </c>
      <c r="I107" s="10" t="s">
        <v>202</v>
      </c>
      <c r="J107" s="10" t="s">
        <v>220</v>
      </c>
      <c r="K107" s="10" t="s">
        <v>219</v>
      </c>
      <c r="M107" s="4">
        <v>6.8</v>
      </c>
      <c r="N107" s="4">
        <v>59</v>
      </c>
      <c r="O107" s="4">
        <v>3.1</v>
      </c>
      <c r="P107" s="22">
        <f t="shared" si="12"/>
        <v>6.3</v>
      </c>
      <c r="Q107" s="22">
        <f t="shared" si="13"/>
        <v>6.4799999999999995</v>
      </c>
      <c r="R107" s="30">
        <f t="shared" si="14"/>
        <v>7</v>
      </c>
      <c r="S107" s="22">
        <f t="shared" si="15"/>
        <v>3.5</v>
      </c>
      <c r="T107" s="28">
        <v>45770</v>
      </c>
      <c r="U107" s="28" t="s">
        <v>805</v>
      </c>
      <c r="V107">
        <v>110</v>
      </c>
      <c r="W107" t="s">
        <v>964</v>
      </c>
      <c r="X107" t="s">
        <v>968</v>
      </c>
    </row>
    <row r="108" spans="1:24" x14ac:dyDescent="0.25">
      <c r="A108" s="4">
        <v>107</v>
      </c>
      <c r="B108" s="4" t="s">
        <v>180</v>
      </c>
      <c r="C108" s="31">
        <v>7.01</v>
      </c>
      <c r="D108" s="4">
        <v>1996</v>
      </c>
      <c r="E108" s="10" t="s">
        <v>181</v>
      </c>
      <c r="F108" s="10" t="s">
        <v>183</v>
      </c>
      <c r="G108" s="10" t="s">
        <v>279</v>
      </c>
      <c r="H108" s="10" t="s">
        <v>280</v>
      </c>
      <c r="I108" s="10" t="s">
        <v>182</v>
      </c>
      <c r="J108" s="10" t="s">
        <v>220</v>
      </c>
      <c r="K108" s="10" t="s">
        <v>234</v>
      </c>
      <c r="L108" s="10" t="s">
        <v>232</v>
      </c>
      <c r="M108" s="4">
        <v>6.5</v>
      </c>
      <c r="N108" s="4">
        <v>43</v>
      </c>
      <c r="O108" s="4">
        <v>3.3</v>
      </c>
      <c r="P108" s="22">
        <f t="shared" si="12"/>
        <v>5.8</v>
      </c>
      <c r="Q108" s="22">
        <f t="shared" si="13"/>
        <v>6.1024999999999991</v>
      </c>
      <c r="R108" s="30">
        <f t="shared" si="14"/>
        <v>7</v>
      </c>
      <c r="S108" s="22">
        <f t="shared" si="15"/>
        <v>3.5</v>
      </c>
      <c r="T108" s="28">
        <v>45718</v>
      </c>
      <c r="U108" s="28" t="s">
        <v>805</v>
      </c>
      <c r="V108">
        <v>88</v>
      </c>
      <c r="W108" t="s">
        <v>964</v>
      </c>
      <c r="X108" t="s">
        <v>872</v>
      </c>
    </row>
    <row r="109" spans="1:24" x14ac:dyDescent="0.25">
      <c r="A109" s="4">
        <v>108</v>
      </c>
      <c r="B109" s="4" t="s">
        <v>212</v>
      </c>
      <c r="C109" s="31">
        <v>6.93</v>
      </c>
      <c r="D109" s="4">
        <v>2004</v>
      </c>
      <c r="E109" s="5" t="s">
        <v>21</v>
      </c>
      <c r="F109" s="10" t="s">
        <v>214</v>
      </c>
      <c r="G109" s="10" t="s">
        <v>217</v>
      </c>
      <c r="H109" s="10" t="s">
        <v>215</v>
      </c>
      <c r="I109" s="10" t="s">
        <v>365</v>
      </c>
      <c r="J109" t="s">
        <v>218</v>
      </c>
      <c r="K109" t="s">
        <v>227</v>
      </c>
      <c r="L109" t="s">
        <v>232</v>
      </c>
      <c r="M109" s="4">
        <v>7.7</v>
      </c>
      <c r="N109" s="4">
        <v>82</v>
      </c>
      <c r="O109" s="4">
        <v>3.6</v>
      </c>
      <c r="P109" s="22">
        <f t="shared" si="12"/>
        <v>7.6999999999999993</v>
      </c>
      <c r="Q109" s="22">
        <f t="shared" si="13"/>
        <v>7.5074999999999994</v>
      </c>
      <c r="R109" s="30">
        <f t="shared" si="14"/>
        <v>6</v>
      </c>
      <c r="S109" s="22">
        <f t="shared" si="15"/>
        <v>3</v>
      </c>
      <c r="T109" s="28">
        <v>45106</v>
      </c>
      <c r="U109" s="28" t="s">
        <v>805</v>
      </c>
      <c r="V109">
        <v>108</v>
      </c>
      <c r="W109" t="s">
        <v>964</v>
      </c>
      <c r="X109" t="s">
        <v>872</v>
      </c>
    </row>
    <row r="110" spans="1:24" x14ac:dyDescent="0.25">
      <c r="A110" s="4">
        <v>109</v>
      </c>
      <c r="B110" s="4" t="s">
        <v>91</v>
      </c>
      <c r="C110" s="31">
        <v>6.92</v>
      </c>
      <c r="D110" s="4">
        <v>2006</v>
      </c>
      <c r="E110" s="5" t="s">
        <v>9</v>
      </c>
      <c r="F110" s="10" t="s">
        <v>92</v>
      </c>
      <c r="G110" s="5" t="s">
        <v>87</v>
      </c>
      <c r="H110" s="10" t="s">
        <v>295</v>
      </c>
      <c r="I110" s="5" t="s">
        <v>93</v>
      </c>
      <c r="J110" s="5" t="s">
        <v>218</v>
      </c>
      <c r="K110" s="10" t="s">
        <v>227</v>
      </c>
      <c r="L110" s="10" t="s">
        <v>232</v>
      </c>
      <c r="M110" s="4">
        <v>6.9</v>
      </c>
      <c r="N110" s="4">
        <v>71</v>
      </c>
      <c r="O110" s="4">
        <v>3.4</v>
      </c>
      <c r="P110" s="22">
        <f t="shared" si="12"/>
        <v>6.9333333333333336</v>
      </c>
      <c r="Q110" s="22">
        <f t="shared" si="13"/>
        <v>6.9300000000000006</v>
      </c>
      <c r="R110" s="30">
        <f t="shared" si="14"/>
        <v>6</v>
      </c>
      <c r="S110" s="22">
        <f t="shared" si="15"/>
        <v>3</v>
      </c>
      <c r="T110" s="28">
        <v>45851</v>
      </c>
      <c r="U110" s="28" t="s">
        <v>805</v>
      </c>
      <c r="V110">
        <v>126</v>
      </c>
      <c r="W110" t="s">
        <v>975</v>
      </c>
      <c r="X110" t="s">
        <v>967</v>
      </c>
    </row>
    <row r="111" spans="1:24" x14ac:dyDescent="0.25">
      <c r="A111" s="4">
        <v>110</v>
      </c>
      <c r="B111" s="4" t="s">
        <v>618</v>
      </c>
      <c r="C111" s="31">
        <v>6.91</v>
      </c>
      <c r="D111" s="4">
        <v>2016</v>
      </c>
      <c r="E111" s="10" t="s">
        <v>15</v>
      </c>
      <c r="F111" s="10" t="s">
        <v>29</v>
      </c>
      <c r="G111" s="10" t="s">
        <v>158</v>
      </c>
      <c r="H111" s="10" t="s">
        <v>619</v>
      </c>
      <c r="I111" s="10" t="s">
        <v>162</v>
      </c>
      <c r="J111" s="10" t="s">
        <v>229</v>
      </c>
      <c r="K111" s="10" t="s">
        <v>225</v>
      </c>
      <c r="L111" s="10" t="s">
        <v>219</v>
      </c>
      <c r="M111" s="4">
        <v>7.1</v>
      </c>
      <c r="N111" s="4">
        <v>61</v>
      </c>
      <c r="O111" s="4">
        <v>3.5</v>
      </c>
      <c r="P111" s="22">
        <f t="shared" si="12"/>
        <v>6.7333333333333334</v>
      </c>
      <c r="Q111" s="22">
        <f t="shared" si="13"/>
        <v>6.7774999999999999</v>
      </c>
      <c r="R111" s="30">
        <f t="shared" si="14"/>
        <v>6</v>
      </c>
      <c r="S111" s="22">
        <f t="shared" si="15"/>
        <v>3</v>
      </c>
      <c r="T111" s="28">
        <v>45428</v>
      </c>
      <c r="U111" s="28" t="s">
        <v>805</v>
      </c>
      <c r="V111">
        <v>114</v>
      </c>
      <c r="W111" t="s">
        <v>964</v>
      </c>
      <c r="X111" t="s">
        <v>872</v>
      </c>
    </row>
    <row r="112" spans="1:24" x14ac:dyDescent="0.25">
      <c r="A112" s="4">
        <v>111</v>
      </c>
      <c r="B112" s="4" t="s">
        <v>516</v>
      </c>
      <c r="C112" s="31">
        <v>6.83</v>
      </c>
      <c r="D112" s="4">
        <v>1998</v>
      </c>
      <c r="E112" s="6" t="s">
        <v>520</v>
      </c>
      <c r="F112" s="10" t="s">
        <v>521</v>
      </c>
      <c r="G112" s="10" t="s">
        <v>522</v>
      </c>
      <c r="H112" s="10" t="s">
        <v>523</v>
      </c>
      <c r="I112" s="10" t="s">
        <v>524</v>
      </c>
      <c r="J112" s="10" t="s">
        <v>229</v>
      </c>
      <c r="K112" s="10" t="s">
        <v>227</v>
      </c>
      <c r="L112" s="10" t="s">
        <v>225</v>
      </c>
      <c r="M112" s="4">
        <v>7</v>
      </c>
      <c r="N112" s="4">
        <v>61</v>
      </c>
      <c r="O112" s="4">
        <v>3.6</v>
      </c>
      <c r="P112" s="22">
        <f t="shared" si="12"/>
        <v>6.7666666666666666</v>
      </c>
      <c r="Q112" s="22">
        <f t="shared" si="13"/>
        <v>6.7824999999999998</v>
      </c>
      <c r="R112" s="30">
        <f t="shared" si="14"/>
        <v>6</v>
      </c>
      <c r="S112" s="22">
        <f t="shared" si="15"/>
        <v>3</v>
      </c>
      <c r="T112" s="28">
        <v>45145</v>
      </c>
      <c r="U112" s="28" t="s">
        <v>805</v>
      </c>
      <c r="V112">
        <v>98</v>
      </c>
      <c r="W112" t="s">
        <v>964</v>
      </c>
      <c r="X112" t="s">
        <v>872</v>
      </c>
    </row>
    <row r="113" spans="1:24" x14ac:dyDescent="0.25">
      <c r="A113" s="4">
        <v>112</v>
      </c>
      <c r="B113" s="4" t="s">
        <v>432</v>
      </c>
      <c r="C113" s="31">
        <v>6.82</v>
      </c>
      <c r="D113" s="4">
        <v>2015</v>
      </c>
      <c r="E113" s="10" t="s">
        <v>64</v>
      </c>
      <c r="F113" s="10" t="s">
        <v>136</v>
      </c>
      <c r="G113" s="10" t="s">
        <v>429</v>
      </c>
      <c r="H113" s="10" t="s">
        <v>433</v>
      </c>
      <c r="I113" s="10" t="s">
        <v>66</v>
      </c>
      <c r="J113" s="10" t="s">
        <v>427</v>
      </c>
      <c r="K113" s="10" t="s">
        <v>227</v>
      </c>
      <c r="L113" s="10" t="s">
        <v>226</v>
      </c>
      <c r="M113" s="4">
        <v>7.8</v>
      </c>
      <c r="N113" s="4">
        <v>75</v>
      </c>
      <c r="O113" s="4">
        <v>4</v>
      </c>
      <c r="P113" s="22">
        <f t="shared" si="12"/>
        <v>7.7666666666666666</v>
      </c>
      <c r="Q113" s="22">
        <f t="shared" si="13"/>
        <v>7.53</v>
      </c>
      <c r="R113" s="30">
        <f t="shared" si="14"/>
        <v>6</v>
      </c>
      <c r="S113" s="22">
        <f t="shared" si="15"/>
        <v>3</v>
      </c>
      <c r="T113" s="28">
        <v>45100</v>
      </c>
      <c r="U113" s="28" t="s">
        <v>805</v>
      </c>
      <c r="V113">
        <v>168</v>
      </c>
      <c r="W113" t="s">
        <v>964</v>
      </c>
      <c r="X113" t="s">
        <v>872</v>
      </c>
    </row>
    <row r="114" spans="1:24" x14ac:dyDescent="0.25">
      <c r="A114" s="4">
        <v>113</v>
      </c>
      <c r="B114" s="4" t="s">
        <v>512</v>
      </c>
      <c r="C114" s="31">
        <v>6.81</v>
      </c>
      <c r="D114" s="4">
        <v>2010</v>
      </c>
      <c r="E114" s="10" t="s">
        <v>21</v>
      </c>
      <c r="F114" s="10" t="s">
        <v>513</v>
      </c>
      <c r="G114" s="10" t="s">
        <v>514</v>
      </c>
      <c r="H114" s="10" t="s">
        <v>515</v>
      </c>
      <c r="I114" s="10" t="s">
        <v>365</v>
      </c>
      <c r="J114" s="10" t="s">
        <v>236</v>
      </c>
      <c r="K114" s="10" t="s">
        <v>219</v>
      </c>
      <c r="L114" s="10" t="s">
        <v>227</v>
      </c>
      <c r="M114" s="4">
        <v>6.8</v>
      </c>
      <c r="N114" s="4">
        <v>53</v>
      </c>
      <c r="O114" s="4">
        <v>3.1</v>
      </c>
      <c r="P114" s="22">
        <f t="shared" si="12"/>
        <v>6.1000000000000005</v>
      </c>
      <c r="Q114" s="22">
        <f t="shared" si="13"/>
        <v>6.2774999999999999</v>
      </c>
      <c r="R114" s="30">
        <f t="shared" si="14"/>
        <v>6</v>
      </c>
      <c r="S114" s="22">
        <f t="shared" si="15"/>
        <v>3</v>
      </c>
      <c r="T114" s="28">
        <v>45145</v>
      </c>
      <c r="U114" s="28" t="s">
        <v>805</v>
      </c>
      <c r="V114">
        <v>115</v>
      </c>
      <c r="W114" t="s">
        <v>964</v>
      </c>
      <c r="X114" t="s">
        <v>872</v>
      </c>
    </row>
    <row r="115" spans="1:24" x14ac:dyDescent="0.25">
      <c r="A115" s="4">
        <v>114</v>
      </c>
      <c r="B115" s="4" t="s">
        <v>769</v>
      </c>
      <c r="C115" s="31">
        <v>6.73</v>
      </c>
      <c r="D115" s="4">
        <v>2011</v>
      </c>
      <c r="E115" s="5" t="s">
        <v>96</v>
      </c>
      <c r="F115" s="10" t="s">
        <v>121</v>
      </c>
      <c r="G115" s="11" t="s">
        <v>817</v>
      </c>
      <c r="H115" s="11" t="s">
        <v>838</v>
      </c>
      <c r="I115" s="11" t="s">
        <v>374</v>
      </c>
      <c r="J115" s="10" t="s">
        <v>229</v>
      </c>
      <c r="K115" s="10"/>
      <c r="M115" s="4">
        <v>5.3</v>
      </c>
      <c r="N115" s="4">
        <v>24</v>
      </c>
      <c r="O115" s="4">
        <v>2.2999999999999998</v>
      </c>
      <c r="P115" s="22">
        <f t="shared" si="12"/>
        <v>4.0999999999999996</v>
      </c>
      <c r="Q115" s="22">
        <f t="shared" si="13"/>
        <v>4.7575000000000003</v>
      </c>
      <c r="R115" s="30">
        <f t="shared" si="14"/>
        <v>6</v>
      </c>
      <c r="S115" s="22">
        <f t="shared" si="15"/>
        <v>3</v>
      </c>
      <c r="T115" s="28">
        <v>45838</v>
      </c>
      <c r="U115" s="28" t="s">
        <v>805</v>
      </c>
      <c r="V115">
        <v>101</v>
      </c>
      <c r="W115" t="s">
        <v>964</v>
      </c>
      <c r="X115" t="s">
        <v>872</v>
      </c>
    </row>
    <row r="116" spans="1:24" x14ac:dyDescent="0.25">
      <c r="A116" s="4">
        <v>115</v>
      </c>
      <c r="B116" s="4" t="s">
        <v>213</v>
      </c>
      <c r="C116" s="31">
        <v>6.72</v>
      </c>
      <c r="D116" s="4">
        <v>2004</v>
      </c>
      <c r="E116" s="5" t="s">
        <v>316</v>
      </c>
      <c r="F116" s="10" t="s">
        <v>317</v>
      </c>
      <c r="G116" s="10" t="s">
        <v>318</v>
      </c>
      <c r="H116" s="10" t="s">
        <v>319</v>
      </c>
      <c r="I116" s="10" t="s">
        <v>366</v>
      </c>
      <c r="J116" t="s">
        <v>220</v>
      </c>
      <c r="K116" t="s">
        <v>218</v>
      </c>
      <c r="L116" t="s">
        <v>219</v>
      </c>
      <c r="M116" s="4">
        <v>7.2</v>
      </c>
      <c r="N116" s="4">
        <v>82</v>
      </c>
      <c r="O116" s="4">
        <v>3.6</v>
      </c>
      <c r="P116" s="22">
        <f t="shared" si="12"/>
        <v>7.5333333333333323</v>
      </c>
      <c r="Q116" s="22">
        <f t="shared" si="13"/>
        <v>7.3299999999999992</v>
      </c>
      <c r="R116" s="30">
        <f t="shared" si="14"/>
        <v>6</v>
      </c>
      <c r="S116" s="22">
        <f t="shared" si="15"/>
        <v>3</v>
      </c>
      <c r="T116" s="28">
        <v>44434</v>
      </c>
      <c r="U116" s="28" t="s">
        <v>805</v>
      </c>
      <c r="V116">
        <v>118</v>
      </c>
      <c r="W116" t="s">
        <v>964</v>
      </c>
      <c r="X116" t="s">
        <v>872</v>
      </c>
    </row>
    <row r="117" spans="1:24" x14ac:dyDescent="0.25">
      <c r="A117" s="4">
        <v>116</v>
      </c>
      <c r="B117" s="4" t="s">
        <v>167</v>
      </c>
      <c r="C117" s="31">
        <v>6.71</v>
      </c>
      <c r="D117" s="4">
        <v>1994</v>
      </c>
      <c r="E117" s="10" t="s">
        <v>170</v>
      </c>
      <c r="F117" s="10" t="s">
        <v>173</v>
      </c>
      <c r="G117" s="10" t="s">
        <v>175</v>
      </c>
      <c r="H117" s="10" t="s">
        <v>176</v>
      </c>
      <c r="I117" s="10" t="s">
        <v>174</v>
      </c>
      <c r="J117" s="10" t="s">
        <v>220</v>
      </c>
      <c r="K117" s="10" t="s">
        <v>219</v>
      </c>
      <c r="L117" s="10" t="s">
        <v>235</v>
      </c>
      <c r="M117" s="4">
        <v>6.1</v>
      </c>
      <c r="N117" s="4">
        <v>20</v>
      </c>
      <c r="O117" s="4">
        <v>3.2</v>
      </c>
      <c r="P117" s="22">
        <f t="shared" si="12"/>
        <v>4.833333333333333</v>
      </c>
      <c r="Q117" s="22">
        <f t="shared" si="13"/>
        <v>5.3025000000000002</v>
      </c>
      <c r="R117" s="30">
        <f t="shared" si="14"/>
        <v>6</v>
      </c>
      <c r="S117" s="22">
        <f t="shared" si="15"/>
        <v>3</v>
      </c>
      <c r="T117" s="28">
        <v>45718</v>
      </c>
      <c r="U117" s="28" t="s">
        <v>805</v>
      </c>
      <c r="V117">
        <v>106</v>
      </c>
      <c r="W117" t="s">
        <v>964</v>
      </c>
      <c r="X117" t="s">
        <v>968</v>
      </c>
    </row>
    <row r="118" spans="1:24" x14ac:dyDescent="0.25">
      <c r="A118" s="4">
        <v>117</v>
      </c>
      <c r="B118" s="4" t="s">
        <v>85</v>
      </c>
      <c r="C118" s="31">
        <v>6.63</v>
      </c>
      <c r="D118" s="4">
        <v>2000</v>
      </c>
      <c r="E118" s="5" t="s">
        <v>9</v>
      </c>
      <c r="F118" s="10" t="s">
        <v>290</v>
      </c>
      <c r="G118" s="5" t="s">
        <v>88</v>
      </c>
      <c r="H118" s="10" t="s">
        <v>87</v>
      </c>
      <c r="I118" s="5" t="s">
        <v>89</v>
      </c>
      <c r="J118" s="5" t="s">
        <v>218</v>
      </c>
      <c r="K118" s="10" t="s">
        <v>227</v>
      </c>
      <c r="L118" s="5" t="s">
        <v>232</v>
      </c>
      <c r="M118" s="4">
        <v>6.1</v>
      </c>
      <c r="N118" s="4">
        <v>56</v>
      </c>
      <c r="O118" s="4">
        <v>2.7</v>
      </c>
      <c r="P118" s="22">
        <f t="shared" si="12"/>
        <v>5.7</v>
      </c>
      <c r="Q118" s="22">
        <f t="shared" si="13"/>
        <v>5.9324999999999992</v>
      </c>
      <c r="R118" s="30">
        <f t="shared" si="14"/>
        <v>6</v>
      </c>
      <c r="S118" s="22">
        <f t="shared" si="15"/>
        <v>3</v>
      </c>
      <c r="T118" s="28">
        <v>45837</v>
      </c>
      <c r="U118" s="28" t="s">
        <v>805</v>
      </c>
      <c r="V118">
        <v>123</v>
      </c>
      <c r="W118" t="s">
        <v>975</v>
      </c>
      <c r="X118" t="s">
        <v>967</v>
      </c>
    </row>
    <row r="119" spans="1:24" x14ac:dyDescent="0.25">
      <c r="A119" s="4">
        <v>118</v>
      </c>
      <c r="B119" s="4" t="s">
        <v>771</v>
      </c>
      <c r="C119" s="31">
        <v>6.62</v>
      </c>
      <c r="D119" s="4">
        <v>2013</v>
      </c>
      <c r="E119" s="10" t="s">
        <v>128</v>
      </c>
      <c r="F119" s="10" t="s">
        <v>26</v>
      </c>
      <c r="G119" s="10" t="s">
        <v>287</v>
      </c>
      <c r="H119" s="10" t="s">
        <v>341</v>
      </c>
      <c r="I119" s="10" t="s">
        <v>938</v>
      </c>
      <c r="J119" s="10" t="s">
        <v>225</v>
      </c>
      <c r="K119" s="10" t="s">
        <v>218</v>
      </c>
      <c r="L119" s="10" t="s">
        <v>229</v>
      </c>
      <c r="M119" s="4">
        <v>6.7</v>
      </c>
      <c r="N119" s="4">
        <v>64</v>
      </c>
      <c r="O119" s="4">
        <v>2.9</v>
      </c>
      <c r="P119" s="22">
        <f t="shared" si="12"/>
        <v>6.3000000000000007</v>
      </c>
      <c r="Q119" s="22">
        <f t="shared" si="13"/>
        <v>6.38</v>
      </c>
      <c r="R119" s="30">
        <f t="shared" si="14"/>
        <v>6</v>
      </c>
      <c r="S119" s="22">
        <f t="shared" si="15"/>
        <v>3</v>
      </c>
      <c r="T119" s="28">
        <v>45919</v>
      </c>
      <c r="U119" s="28" t="s">
        <v>805</v>
      </c>
      <c r="V119">
        <v>109</v>
      </c>
      <c r="W119" t="s">
        <v>964</v>
      </c>
      <c r="X119" t="s">
        <v>872</v>
      </c>
    </row>
    <row r="120" spans="1:24" x14ac:dyDescent="0.25">
      <c r="A120" s="4">
        <v>119</v>
      </c>
      <c r="B120" s="4" t="s">
        <v>796</v>
      </c>
      <c r="C120" s="31">
        <v>6.61</v>
      </c>
      <c r="D120" s="4">
        <v>2015</v>
      </c>
      <c r="E120" s="10" t="s">
        <v>420</v>
      </c>
      <c r="F120" s="10" t="s">
        <v>797</v>
      </c>
      <c r="G120" s="10" t="s">
        <v>450</v>
      </c>
      <c r="H120" s="10" t="s">
        <v>798</v>
      </c>
      <c r="I120" s="10" t="s">
        <v>756</v>
      </c>
      <c r="J120" s="10" t="s">
        <v>218</v>
      </c>
      <c r="K120" s="10" t="s">
        <v>232</v>
      </c>
      <c r="L120" s="10" t="s">
        <v>229</v>
      </c>
      <c r="M120" s="4">
        <v>7.2</v>
      </c>
      <c r="N120" s="4">
        <v>67</v>
      </c>
      <c r="O120" s="4">
        <v>3.5</v>
      </c>
      <c r="P120" s="22">
        <f t="shared" si="12"/>
        <v>6.9666666666666659</v>
      </c>
      <c r="Q120" s="22">
        <f t="shared" si="13"/>
        <v>6.8775000000000004</v>
      </c>
      <c r="R120" s="30">
        <f t="shared" si="14"/>
        <v>6</v>
      </c>
      <c r="S120" s="22">
        <f t="shared" si="15"/>
        <v>3</v>
      </c>
      <c r="T120" s="28">
        <v>45764</v>
      </c>
      <c r="U120" s="28" t="s">
        <v>805</v>
      </c>
      <c r="V120">
        <v>116</v>
      </c>
      <c r="W120" t="s">
        <v>964</v>
      </c>
      <c r="X120" t="s">
        <v>970</v>
      </c>
    </row>
    <row r="121" spans="1:24" x14ac:dyDescent="0.25">
      <c r="A121" s="4">
        <v>120</v>
      </c>
      <c r="B121" s="4" t="s">
        <v>500</v>
      </c>
      <c r="C121" s="31">
        <v>6.53</v>
      </c>
      <c r="D121" s="4">
        <v>1992</v>
      </c>
      <c r="E121" s="10" t="s">
        <v>34</v>
      </c>
      <c r="F121" s="10" t="s">
        <v>502</v>
      </c>
      <c r="G121" s="10" t="s">
        <v>503</v>
      </c>
      <c r="H121" s="10" t="s">
        <v>504</v>
      </c>
      <c r="I121" s="10" t="s">
        <v>501</v>
      </c>
      <c r="J121" t="s">
        <v>229</v>
      </c>
      <c r="K121" t="s">
        <v>225</v>
      </c>
      <c r="L121" s="10" t="s">
        <v>718</v>
      </c>
      <c r="M121" s="4">
        <v>7.6</v>
      </c>
      <c r="N121" s="4">
        <v>86</v>
      </c>
      <c r="O121" s="4">
        <v>3.9</v>
      </c>
      <c r="P121" s="22">
        <f t="shared" si="12"/>
        <v>8</v>
      </c>
      <c r="Q121" s="22">
        <f t="shared" si="13"/>
        <v>7.6324999999999994</v>
      </c>
      <c r="R121" s="30">
        <f t="shared" si="14"/>
        <v>6</v>
      </c>
      <c r="S121" s="22">
        <f t="shared" si="15"/>
        <v>3</v>
      </c>
      <c r="T121" s="28">
        <v>45139</v>
      </c>
      <c r="U121" s="28" t="s">
        <v>805</v>
      </c>
      <c r="V121">
        <v>120</v>
      </c>
      <c r="W121" t="s">
        <v>964</v>
      </c>
      <c r="X121" t="s">
        <v>872</v>
      </c>
    </row>
    <row r="122" spans="1:24" x14ac:dyDescent="0.25">
      <c r="A122" s="4">
        <v>121</v>
      </c>
      <c r="B122" s="4" t="s">
        <v>768</v>
      </c>
      <c r="C122" s="31">
        <v>6.52</v>
      </c>
      <c r="D122" s="4">
        <v>1999</v>
      </c>
      <c r="E122" s="5" t="s">
        <v>21</v>
      </c>
      <c r="F122" s="10" t="s">
        <v>949</v>
      </c>
      <c r="G122" s="10" t="s">
        <v>819</v>
      </c>
      <c r="H122" s="10" t="s">
        <v>831</v>
      </c>
      <c r="I122" s="10" t="s">
        <v>767</v>
      </c>
      <c r="J122" s="10" t="s">
        <v>219</v>
      </c>
      <c r="K122" s="10" t="s">
        <v>225</v>
      </c>
      <c r="L122" s="10" t="s">
        <v>227</v>
      </c>
      <c r="M122" s="4">
        <v>7.4</v>
      </c>
      <c r="N122" s="4">
        <v>85</v>
      </c>
      <c r="O122" s="4">
        <v>3.9</v>
      </c>
      <c r="P122" s="22">
        <f t="shared" si="12"/>
        <v>7.8999999999999995</v>
      </c>
      <c r="Q122" s="22">
        <f t="shared" si="13"/>
        <v>7.5550000000000006</v>
      </c>
      <c r="R122" s="30">
        <f t="shared" si="14"/>
        <v>6</v>
      </c>
      <c r="S122" s="22">
        <f t="shared" si="15"/>
        <v>3</v>
      </c>
      <c r="T122" s="28">
        <v>46018</v>
      </c>
      <c r="U122" s="28" t="s">
        <v>805</v>
      </c>
      <c r="V122">
        <v>139</v>
      </c>
      <c r="W122" t="s">
        <v>964</v>
      </c>
      <c r="X122" t="s">
        <v>960</v>
      </c>
    </row>
    <row r="123" spans="1:24" x14ac:dyDescent="0.25">
      <c r="A123" s="4">
        <v>122</v>
      </c>
      <c r="B123" s="4" t="s">
        <v>168</v>
      </c>
      <c r="C123" s="31">
        <v>6.51</v>
      </c>
      <c r="D123" s="4">
        <v>1996</v>
      </c>
      <c r="E123" s="10" t="s">
        <v>170</v>
      </c>
      <c r="F123" s="10" t="s">
        <v>173</v>
      </c>
      <c r="G123" s="10" t="s">
        <v>178</v>
      </c>
      <c r="H123" s="10" t="s">
        <v>179</v>
      </c>
      <c r="I123" s="10" t="s">
        <v>177</v>
      </c>
      <c r="J123" s="10" t="s">
        <v>220</v>
      </c>
      <c r="K123" s="10" t="s">
        <v>218</v>
      </c>
      <c r="L123" s="10" t="s">
        <v>219</v>
      </c>
      <c r="M123" s="4">
        <v>5.4</v>
      </c>
      <c r="N123" s="4">
        <v>20</v>
      </c>
      <c r="O123" s="4">
        <v>2.9</v>
      </c>
      <c r="P123" s="22">
        <f t="shared" si="12"/>
        <v>4.3999999999999995</v>
      </c>
      <c r="Q123" s="22">
        <f t="shared" si="13"/>
        <v>4.9275000000000002</v>
      </c>
      <c r="R123" s="30">
        <f t="shared" si="14"/>
        <v>6</v>
      </c>
      <c r="S123" s="22">
        <f t="shared" si="15"/>
        <v>3</v>
      </c>
      <c r="T123" s="28">
        <v>45718</v>
      </c>
      <c r="U123" s="28" t="s">
        <v>805</v>
      </c>
      <c r="V123">
        <v>104</v>
      </c>
      <c r="W123" t="s">
        <v>964</v>
      </c>
      <c r="X123" t="s">
        <v>968</v>
      </c>
    </row>
    <row r="124" spans="1:24" x14ac:dyDescent="0.25">
      <c r="A124" s="4">
        <v>123</v>
      </c>
      <c r="B124" s="4" t="s">
        <v>485</v>
      </c>
      <c r="C124" s="31">
        <v>6.43</v>
      </c>
      <c r="D124" s="4">
        <v>1986</v>
      </c>
      <c r="E124" s="5" t="s">
        <v>9</v>
      </c>
      <c r="F124" s="10" t="s">
        <v>486</v>
      </c>
      <c r="G124" s="10" t="s">
        <v>488</v>
      </c>
      <c r="H124" s="10" t="s">
        <v>489</v>
      </c>
      <c r="I124" s="10" t="s">
        <v>37</v>
      </c>
      <c r="J124" s="10" t="s">
        <v>220</v>
      </c>
      <c r="K124" s="10" t="s">
        <v>219</v>
      </c>
      <c r="M124" s="4">
        <v>7.2</v>
      </c>
      <c r="N124" s="4">
        <v>89</v>
      </c>
      <c r="O124" s="4">
        <v>3.7</v>
      </c>
      <c r="P124" s="22">
        <f t="shared" si="12"/>
        <v>7.833333333333333</v>
      </c>
      <c r="Q124" s="22">
        <f t="shared" si="13"/>
        <v>7.4824999999999999</v>
      </c>
      <c r="R124" s="30">
        <f t="shared" si="14"/>
        <v>6</v>
      </c>
      <c r="S124" s="22">
        <f t="shared" si="15"/>
        <v>3</v>
      </c>
      <c r="T124" s="28">
        <v>45119</v>
      </c>
      <c r="U124" s="28" t="s">
        <v>805</v>
      </c>
      <c r="V124">
        <v>119</v>
      </c>
      <c r="W124" t="s">
        <v>964</v>
      </c>
      <c r="X124" t="s">
        <v>872</v>
      </c>
    </row>
    <row r="125" spans="1:24" x14ac:dyDescent="0.25">
      <c r="A125" s="4">
        <v>124</v>
      </c>
      <c r="B125" s="4" t="s">
        <v>544</v>
      </c>
      <c r="C125" s="31">
        <v>6.42</v>
      </c>
      <c r="D125" s="4">
        <v>2015</v>
      </c>
      <c r="E125" s="5" t="s">
        <v>545</v>
      </c>
      <c r="F125" s="10" t="s">
        <v>546</v>
      </c>
      <c r="G125" s="10" t="s">
        <v>547</v>
      </c>
      <c r="H125" s="10" t="s">
        <v>548</v>
      </c>
      <c r="I125" s="10" t="s">
        <v>549</v>
      </c>
      <c r="J125" s="10" t="s">
        <v>236</v>
      </c>
      <c r="K125" s="10" t="s">
        <v>225</v>
      </c>
      <c r="L125" s="10" t="s">
        <v>219</v>
      </c>
      <c r="M125" s="4">
        <v>7.7</v>
      </c>
      <c r="N125" s="4">
        <v>92</v>
      </c>
      <c r="O125" s="4">
        <v>4</v>
      </c>
      <c r="P125" s="22">
        <f t="shared" si="12"/>
        <v>8.2999999999999989</v>
      </c>
      <c r="Q125" s="22">
        <f t="shared" si="13"/>
        <v>7.83</v>
      </c>
      <c r="R125" s="30">
        <f t="shared" si="14"/>
        <v>6</v>
      </c>
      <c r="S125" s="22">
        <f t="shared" si="15"/>
        <v>3</v>
      </c>
      <c r="T125" s="28">
        <v>45283</v>
      </c>
      <c r="U125" s="28" t="s">
        <v>805</v>
      </c>
      <c r="V125">
        <v>121</v>
      </c>
      <c r="W125" t="s">
        <v>964</v>
      </c>
      <c r="X125" t="s">
        <v>872</v>
      </c>
    </row>
    <row r="126" spans="1:24" x14ac:dyDescent="0.25">
      <c r="A126" s="4">
        <v>125</v>
      </c>
      <c r="B126" s="4" t="s">
        <v>806</v>
      </c>
      <c r="C126" s="31">
        <v>6.41</v>
      </c>
      <c r="D126" s="4">
        <v>1989</v>
      </c>
      <c r="E126" s="10" t="s">
        <v>23</v>
      </c>
      <c r="F126" s="10" t="s">
        <v>850</v>
      </c>
      <c r="G126" s="10" t="s">
        <v>820</v>
      </c>
      <c r="H126" s="10" t="s">
        <v>849</v>
      </c>
      <c r="I126" s="10" t="s">
        <v>192</v>
      </c>
      <c r="J126" s="10" t="s">
        <v>219</v>
      </c>
      <c r="K126" s="10" t="s">
        <v>229</v>
      </c>
      <c r="M126" s="4">
        <v>8.1</v>
      </c>
      <c r="N126" s="4">
        <v>85</v>
      </c>
      <c r="O126" s="4">
        <v>4.3</v>
      </c>
      <c r="P126" s="22">
        <f t="shared" si="12"/>
        <v>8.4</v>
      </c>
      <c r="Q126" s="22">
        <f t="shared" si="13"/>
        <v>7.9024999999999999</v>
      </c>
      <c r="R126" s="30">
        <f t="shared" si="14"/>
        <v>6</v>
      </c>
      <c r="S126" s="22">
        <f t="shared" si="15"/>
        <v>3</v>
      </c>
      <c r="T126" s="28">
        <v>45954</v>
      </c>
      <c r="U126" s="28" t="s">
        <v>805</v>
      </c>
      <c r="V126">
        <v>128</v>
      </c>
      <c r="W126" t="s">
        <v>964</v>
      </c>
      <c r="X126" t="s">
        <v>872</v>
      </c>
    </row>
    <row r="127" spans="1:24" x14ac:dyDescent="0.25">
      <c r="A127" s="4">
        <v>126</v>
      </c>
      <c r="B127" s="4" t="s">
        <v>947</v>
      </c>
      <c r="C127" s="31">
        <v>6.33</v>
      </c>
      <c r="D127" s="4">
        <v>2004</v>
      </c>
      <c r="E127" s="5" t="s">
        <v>839</v>
      </c>
      <c r="F127" s="10" t="s">
        <v>826</v>
      </c>
      <c r="G127" s="10" t="s">
        <v>343</v>
      </c>
      <c r="H127" s="10" t="s">
        <v>948</v>
      </c>
      <c r="I127" s="10" t="s">
        <v>867</v>
      </c>
      <c r="J127" s="10" t="s">
        <v>707</v>
      </c>
      <c r="K127" s="10" t="s">
        <v>235</v>
      </c>
      <c r="L127" s="10" t="s">
        <v>229</v>
      </c>
      <c r="M127" s="4">
        <v>5.5</v>
      </c>
      <c r="N127" s="4">
        <v>5</v>
      </c>
      <c r="O127" s="4">
        <v>2.8</v>
      </c>
      <c r="P127" s="22">
        <f t="shared" si="12"/>
        <v>3.8666666666666667</v>
      </c>
      <c r="Q127" s="22">
        <f t="shared" si="13"/>
        <v>4.4824999999999999</v>
      </c>
      <c r="R127" s="30">
        <f t="shared" si="14"/>
        <v>6</v>
      </c>
      <c r="S127" s="22">
        <f t="shared" si="15"/>
        <v>3</v>
      </c>
      <c r="T127" s="28">
        <v>46015</v>
      </c>
      <c r="U127" s="28" t="s">
        <v>805</v>
      </c>
      <c r="V127">
        <v>98</v>
      </c>
      <c r="W127" t="s">
        <v>964</v>
      </c>
      <c r="X127" t="s">
        <v>872</v>
      </c>
    </row>
    <row r="128" spans="1:24" x14ac:dyDescent="0.25">
      <c r="A128" s="4">
        <v>127</v>
      </c>
      <c r="B128" s="4" t="s">
        <v>720</v>
      </c>
      <c r="C128" s="31">
        <v>6.32</v>
      </c>
      <c r="D128" s="4">
        <v>2019</v>
      </c>
      <c r="E128" s="10" t="s">
        <v>609</v>
      </c>
      <c r="F128" s="10" t="s">
        <v>615</v>
      </c>
      <c r="G128" s="10" t="s">
        <v>721</v>
      </c>
      <c r="H128" s="10" t="s">
        <v>722</v>
      </c>
      <c r="I128" s="10" t="s">
        <v>665</v>
      </c>
      <c r="J128" s="10" t="s">
        <v>225</v>
      </c>
      <c r="K128" s="10" t="s">
        <v>219</v>
      </c>
      <c r="L128" s="10" t="s">
        <v>227</v>
      </c>
      <c r="M128" s="4">
        <v>7.3</v>
      </c>
      <c r="N128" s="4">
        <v>92</v>
      </c>
      <c r="O128" s="4">
        <v>3.6</v>
      </c>
      <c r="P128" s="22">
        <f t="shared" si="12"/>
        <v>7.8999999999999995</v>
      </c>
      <c r="Q128" s="22">
        <f t="shared" si="13"/>
        <v>7.5049999999999999</v>
      </c>
      <c r="R128" s="30">
        <f t="shared" si="14"/>
        <v>6</v>
      </c>
      <c r="S128" s="22">
        <f t="shared" si="15"/>
        <v>3</v>
      </c>
      <c r="T128" s="28">
        <v>45456</v>
      </c>
      <c r="U128" s="28" t="s">
        <v>805</v>
      </c>
      <c r="V128">
        <v>122</v>
      </c>
      <c r="W128" t="s">
        <v>964</v>
      </c>
      <c r="X128" t="s">
        <v>872</v>
      </c>
    </row>
    <row r="129" spans="1:24" x14ac:dyDescent="0.25">
      <c r="A129" s="4">
        <v>128</v>
      </c>
      <c r="B129" s="4" t="s">
        <v>428</v>
      </c>
      <c r="C129" s="31">
        <v>6.31</v>
      </c>
      <c r="D129" s="4">
        <v>1992</v>
      </c>
      <c r="E129" s="5" t="s">
        <v>429</v>
      </c>
      <c r="F129" s="10" t="s">
        <v>335</v>
      </c>
      <c r="G129" s="10" t="s">
        <v>431</v>
      </c>
      <c r="H129" s="10" t="s">
        <v>430</v>
      </c>
      <c r="I129" s="10" t="s">
        <v>66</v>
      </c>
      <c r="J129" s="10" t="s">
        <v>225</v>
      </c>
      <c r="K129" s="10" t="s">
        <v>227</v>
      </c>
      <c r="L129" s="10" t="s">
        <v>717</v>
      </c>
      <c r="M129" s="4">
        <v>8.3000000000000007</v>
      </c>
      <c r="N129" s="4">
        <v>92</v>
      </c>
      <c r="O129" s="4">
        <v>4.0999999999999996</v>
      </c>
      <c r="P129" s="22">
        <f t="shared" si="12"/>
        <v>8.5666666666666664</v>
      </c>
      <c r="Q129" s="22">
        <f t="shared" si="13"/>
        <v>8.0024999999999995</v>
      </c>
      <c r="R129" s="30">
        <f t="shared" si="14"/>
        <v>6</v>
      </c>
      <c r="S129" s="22">
        <f t="shared" si="15"/>
        <v>3</v>
      </c>
      <c r="T129" s="28">
        <v>45098</v>
      </c>
      <c r="U129" s="28" t="s">
        <v>805</v>
      </c>
      <c r="V129">
        <v>99</v>
      </c>
      <c r="W129" t="s">
        <v>964</v>
      </c>
      <c r="X129" t="s">
        <v>872</v>
      </c>
    </row>
    <row r="130" spans="1:24" x14ac:dyDescent="0.25">
      <c r="A130" s="4">
        <v>129</v>
      </c>
      <c r="B130" s="4" t="s">
        <v>785</v>
      </c>
      <c r="C130" s="31">
        <v>6.23</v>
      </c>
      <c r="D130" s="4">
        <v>2005</v>
      </c>
      <c r="E130" s="5" t="s">
        <v>434</v>
      </c>
      <c r="F130" s="10" t="s">
        <v>435</v>
      </c>
      <c r="G130" s="10" t="s">
        <v>436</v>
      </c>
      <c r="H130" s="10" t="s">
        <v>437</v>
      </c>
      <c r="I130" s="10" t="s">
        <v>341</v>
      </c>
      <c r="J130" s="10" t="s">
        <v>220</v>
      </c>
      <c r="K130" s="10" t="s">
        <v>219</v>
      </c>
      <c r="L130" s="10" t="s">
        <v>230</v>
      </c>
      <c r="M130" s="4">
        <v>7.4</v>
      </c>
      <c r="N130" s="4">
        <v>63</v>
      </c>
      <c r="O130" s="4">
        <v>3.5</v>
      </c>
      <c r="P130" s="22">
        <f t="shared" ref="P130:P161" si="16">(M130+(N130/10)+(O130*2))/3</f>
        <v>6.8999999999999995</v>
      </c>
      <c r="Q130" s="22">
        <f t="shared" ref="Q130:Q161" si="17">(M130+C130+(N130/10)+(O130*2))/4</f>
        <v>6.7324999999999999</v>
      </c>
      <c r="R130" s="30">
        <f t="shared" ref="R130:R161" si="18">IF(C130&gt;=9.5,10,
IF(C130&gt;=9,9,
IF(C130&gt;=8,8,
IF(C130&gt;=7,7,
IF(C130&gt;=6,6,
IF(C130&gt;=5,5,
IF(C130&gt;=4,4,
IF(C130&gt;=3,3,
IF(C130&gt;=1.5,2,
IF(C130&gt;=0,1,""))))))))))</f>
        <v>6</v>
      </c>
      <c r="S130" s="22">
        <f t="shared" ref="S130:S161" si="19">IF(C130&gt;=9.5,5,
IF(C130&gt;=9,4.5,
IF(C130&gt;=8,4,
IF(C130&gt;=7,3.5,
IF(C130&gt;=6,3,
IF(C130&gt;=5,2.5,
IF(C130&gt;=4,2,
IF(C130&gt;=3,1.5,
IF(C130&gt;=1.5,1,
IF(C130&gt;=0,0.5,""))))))))))</f>
        <v>3</v>
      </c>
      <c r="T130" s="28">
        <v>45283</v>
      </c>
      <c r="U130" s="28" t="s">
        <v>805</v>
      </c>
      <c r="V130">
        <v>120</v>
      </c>
      <c r="W130" t="s">
        <v>976</v>
      </c>
      <c r="X130" t="s">
        <v>967</v>
      </c>
    </row>
    <row r="131" spans="1:24" x14ac:dyDescent="0.25">
      <c r="A131" s="4">
        <v>130</v>
      </c>
      <c r="B131" s="4" t="s">
        <v>616</v>
      </c>
      <c r="C131" s="31">
        <v>6.22</v>
      </c>
      <c r="D131" s="4">
        <v>2015</v>
      </c>
      <c r="E131" s="10" t="s">
        <v>617</v>
      </c>
      <c r="F131" s="10" t="s">
        <v>132</v>
      </c>
      <c r="G131" s="10" t="s">
        <v>109</v>
      </c>
      <c r="H131" s="10" t="s">
        <v>57</v>
      </c>
      <c r="I131" s="10" t="s">
        <v>39</v>
      </c>
      <c r="J131" s="10" t="s">
        <v>219</v>
      </c>
      <c r="K131" s="10" t="s">
        <v>229</v>
      </c>
      <c r="L131" s="10" t="s">
        <v>230</v>
      </c>
      <c r="M131" s="4">
        <v>7.8</v>
      </c>
      <c r="N131" s="4">
        <v>88</v>
      </c>
      <c r="O131" s="4">
        <v>3.8</v>
      </c>
      <c r="P131" s="22">
        <f t="shared" si="16"/>
        <v>8.0666666666666682</v>
      </c>
      <c r="Q131" s="22">
        <f t="shared" si="17"/>
        <v>7.6050000000000004</v>
      </c>
      <c r="R131" s="30">
        <f t="shared" si="18"/>
        <v>6</v>
      </c>
      <c r="S131" s="22">
        <f t="shared" si="19"/>
        <v>3</v>
      </c>
      <c r="T131" s="28">
        <v>45988</v>
      </c>
      <c r="U131" s="28" t="s">
        <v>805</v>
      </c>
      <c r="V131">
        <v>130</v>
      </c>
      <c r="W131" t="s">
        <v>964</v>
      </c>
      <c r="X131" t="s">
        <v>960</v>
      </c>
    </row>
    <row r="132" spans="1:24" x14ac:dyDescent="0.25">
      <c r="A132" s="4">
        <v>131</v>
      </c>
      <c r="B132" s="4" t="s">
        <v>445</v>
      </c>
      <c r="C132" s="31">
        <v>6.21</v>
      </c>
      <c r="D132" s="4">
        <v>2008</v>
      </c>
      <c r="E132" s="5" t="s">
        <v>153</v>
      </c>
      <c r="F132" s="10" t="s">
        <v>451</v>
      </c>
      <c r="G132" s="10" t="s">
        <v>452</v>
      </c>
      <c r="H132" s="10" t="s">
        <v>453</v>
      </c>
      <c r="I132" s="10" t="s">
        <v>457</v>
      </c>
      <c r="J132" s="10" t="s">
        <v>236</v>
      </c>
      <c r="K132" s="10" t="s">
        <v>219</v>
      </c>
      <c r="L132" s="10" t="s">
        <v>227</v>
      </c>
      <c r="M132" s="4">
        <v>7.5</v>
      </c>
      <c r="N132" s="4">
        <v>97</v>
      </c>
      <c r="O132" s="4">
        <v>3.8</v>
      </c>
      <c r="P132" s="22">
        <f t="shared" si="16"/>
        <v>8.2666666666666657</v>
      </c>
      <c r="Q132" s="22">
        <f t="shared" si="17"/>
        <v>7.7524999999999995</v>
      </c>
      <c r="R132" s="30">
        <f t="shared" si="18"/>
        <v>6</v>
      </c>
      <c r="S132" s="22">
        <f t="shared" si="19"/>
        <v>3</v>
      </c>
      <c r="T132" s="28">
        <v>45104</v>
      </c>
      <c r="U132" s="28" t="s">
        <v>805</v>
      </c>
      <c r="V132">
        <v>131</v>
      </c>
      <c r="W132" t="s">
        <v>964</v>
      </c>
      <c r="X132" t="s">
        <v>872</v>
      </c>
    </row>
    <row r="133" spans="1:24" x14ac:dyDescent="0.25">
      <c r="A133" s="4">
        <v>132</v>
      </c>
      <c r="B133" s="4" t="s">
        <v>130</v>
      </c>
      <c r="C133" s="31">
        <v>6.13</v>
      </c>
      <c r="D133" s="4">
        <v>2013</v>
      </c>
      <c r="E133" s="10" t="s">
        <v>11</v>
      </c>
      <c r="F133" s="10" t="s">
        <v>108</v>
      </c>
      <c r="G133" s="10" t="s">
        <v>109</v>
      </c>
      <c r="H133" s="10" t="s">
        <v>110</v>
      </c>
      <c r="I133" s="10" t="s">
        <v>39</v>
      </c>
      <c r="J133" s="10" t="s">
        <v>229</v>
      </c>
      <c r="M133" s="4">
        <v>6.3</v>
      </c>
      <c r="N133" s="4">
        <v>74</v>
      </c>
      <c r="O133" s="4">
        <v>3</v>
      </c>
      <c r="P133" s="22">
        <f t="shared" si="16"/>
        <v>6.5666666666666664</v>
      </c>
      <c r="Q133" s="22">
        <f t="shared" si="17"/>
        <v>6.4574999999999996</v>
      </c>
      <c r="R133" s="30">
        <f t="shared" si="18"/>
        <v>6</v>
      </c>
      <c r="S133" s="22">
        <f t="shared" si="19"/>
        <v>3</v>
      </c>
      <c r="T133" s="28">
        <v>44721</v>
      </c>
      <c r="U133" s="28" t="s">
        <v>805</v>
      </c>
      <c r="V133">
        <v>119</v>
      </c>
      <c r="W133" t="s">
        <v>964</v>
      </c>
      <c r="X133" t="s">
        <v>872</v>
      </c>
    </row>
    <row r="134" spans="1:24" x14ac:dyDescent="0.25">
      <c r="A134" s="4">
        <v>133</v>
      </c>
      <c r="B134" s="4" t="s">
        <v>443</v>
      </c>
      <c r="C134" s="31">
        <v>6.12</v>
      </c>
      <c r="D134" s="4">
        <v>2012</v>
      </c>
      <c r="E134" s="5" t="s">
        <v>153</v>
      </c>
      <c r="F134" s="10" t="s">
        <v>446</v>
      </c>
      <c r="G134" s="10" t="s">
        <v>245</v>
      </c>
      <c r="H134" s="10" t="s">
        <v>448</v>
      </c>
      <c r="I134" s="10" t="s">
        <v>447</v>
      </c>
      <c r="J134" s="10" t="s">
        <v>218</v>
      </c>
      <c r="K134" s="10" t="s">
        <v>227</v>
      </c>
      <c r="L134" s="10" t="s">
        <v>232</v>
      </c>
      <c r="M134" s="4">
        <v>6.6</v>
      </c>
      <c r="N134" s="4">
        <v>55</v>
      </c>
      <c r="O134" s="4">
        <v>2.8</v>
      </c>
      <c r="P134" s="22">
        <f t="shared" si="16"/>
        <v>5.8999999999999995</v>
      </c>
      <c r="Q134" s="22">
        <f t="shared" si="17"/>
        <v>5.9550000000000001</v>
      </c>
      <c r="R134" s="30">
        <f t="shared" si="18"/>
        <v>6</v>
      </c>
      <c r="S134" s="22">
        <f t="shared" si="19"/>
        <v>3</v>
      </c>
      <c r="T134" s="28">
        <v>45106</v>
      </c>
      <c r="U134" s="28" t="s">
        <v>805</v>
      </c>
      <c r="V134">
        <v>135</v>
      </c>
      <c r="W134" t="s">
        <v>964</v>
      </c>
      <c r="X134" t="s">
        <v>872</v>
      </c>
    </row>
    <row r="135" spans="1:24" x14ac:dyDescent="0.25">
      <c r="A135" s="4">
        <v>134</v>
      </c>
      <c r="B135" s="4" t="s">
        <v>751</v>
      </c>
      <c r="C135" s="31">
        <v>6.11</v>
      </c>
      <c r="D135" s="4">
        <v>2008</v>
      </c>
      <c r="E135" s="10" t="s">
        <v>9</v>
      </c>
      <c r="F135" s="10" t="s">
        <v>810</v>
      </c>
      <c r="G135" s="10" t="s">
        <v>832</v>
      </c>
      <c r="H135" s="10" t="s">
        <v>816</v>
      </c>
      <c r="I135" s="10" t="s">
        <v>748</v>
      </c>
      <c r="J135" s="10" t="s">
        <v>236</v>
      </c>
      <c r="K135" t="s">
        <v>227</v>
      </c>
      <c r="L135" t="s">
        <v>219</v>
      </c>
      <c r="M135" s="4">
        <v>7.1</v>
      </c>
      <c r="N135" s="4">
        <v>62</v>
      </c>
      <c r="O135" s="4">
        <v>3.3</v>
      </c>
      <c r="P135" s="22">
        <f t="shared" si="16"/>
        <v>6.6333333333333329</v>
      </c>
      <c r="Q135" s="22">
        <f t="shared" si="17"/>
        <v>6.5024999999999995</v>
      </c>
      <c r="R135" s="30">
        <f t="shared" si="18"/>
        <v>6</v>
      </c>
      <c r="S135" s="22">
        <f t="shared" si="19"/>
        <v>3</v>
      </c>
      <c r="T135" s="28">
        <v>45932</v>
      </c>
      <c r="U135" s="28" t="s">
        <v>805</v>
      </c>
      <c r="V135">
        <v>121</v>
      </c>
      <c r="W135" t="s">
        <v>964</v>
      </c>
      <c r="X135" t="s">
        <v>970</v>
      </c>
    </row>
    <row r="136" spans="1:24" x14ac:dyDescent="0.25">
      <c r="A136" s="4">
        <v>135</v>
      </c>
      <c r="B136" s="4" t="s">
        <v>113</v>
      </c>
      <c r="C136" s="31">
        <v>6.03</v>
      </c>
      <c r="D136" s="4">
        <v>2013</v>
      </c>
      <c r="E136" s="10" t="s">
        <v>14</v>
      </c>
      <c r="F136" s="10" t="s">
        <v>114</v>
      </c>
      <c r="G136" s="10" t="s">
        <v>324</v>
      </c>
      <c r="H136" s="10" t="s">
        <v>325</v>
      </c>
      <c r="I136" s="10" t="s">
        <v>115</v>
      </c>
      <c r="J136" s="10" t="s">
        <v>219</v>
      </c>
      <c r="K136" s="10" t="s">
        <v>231</v>
      </c>
      <c r="L136" s="10" t="s">
        <v>719</v>
      </c>
      <c r="M136" s="4">
        <v>7.2</v>
      </c>
      <c r="N136" s="4">
        <v>48</v>
      </c>
      <c r="O136" s="4">
        <v>3.4</v>
      </c>
      <c r="P136" s="22">
        <f t="shared" si="16"/>
        <v>6.2666666666666666</v>
      </c>
      <c r="Q136" s="22">
        <f t="shared" si="17"/>
        <v>6.2075000000000005</v>
      </c>
      <c r="R136" s="30">
        <f t="shared" si="18"/>
        <v>6</v>
      </c>
      <c r="S136" s="22">
        <f t="shared" si="19"/>
        <v>3</v>
      </c>
      <c r="T136" s="28">
        <v>45106</v>
      </c>
      <c r="U136" s="28" t="s">
        <v>805</v>
      </c>
      <c r="V136">
        <v>143</v>
      </c>
      <c r="W136" t="s">
        <v>964</v>
      </c>
      <c r="X136" t="s">
        <v>872</v>
      </c>
    </row>
    <row r="137" spans="1:24" x14ac:dyDescent="0.25">
      <c r="A137" s="4">
        <v>136</v>
      </c>
      <c r="B137" s="4" t="s">
        <v>625</v>
      </c>
      <c r="C137" s="31">
        <v>6.02</v>
      </c>
      <c r="D137" s="4">
        <v>2001</v>
      </c>
      <c r="E137" s="10" t="s">
        <v>622</v>
      </c>
      <c r="F137" s="10" t="s">
        <v>57</v>
      </c>
      <c r="G137" s="10" t="s">
        <v>21</v>
      </c>
      <c r="H137" s="10" t="s">
        <v>623</v>
      </c>
      <c r="I137" s="10" t="s">
        <v>624</v>
      </c>
      <c r="J137" s="10" t="s">
        <v>225</v>
      </c>
      <c r="K137" s="10" t="s">
        <v>227</v>
      </c>
      <c r="M137" s="4">
        <v>6.5</v>
      </c>
      <c r="N137" s="4">
        <v>55</v>
      </c>
      <c r="O137" s="4">
        <v>3.3</v>
      </c>
      <c r="P137" s="22">
        <f t="shared" si="16"/>
        <v>6.2</v>
      </c>
      <c r="Q137" s="22">
        <f t="shared" si="17"/>
        <v>6.1549999999999994</v>
      </c>
      <c r="R137" s="30">
        <f t="shared" si="18"/>
        <v>6</v>
      </c>
      <c r="S137" s="22">
        <f t="shared" si="19"/>
        <v>3</v>
      </c>
      <c r="T137" s="28">
        <v>45432</v>
      </c>
      <c r="U137" s="28" t="s">
        <v>805</v>
      </c>
      <c r="V137">
        <v>125</v>
      </c>
      <c r="W137" t="s">
        <v>964</v>
      </c>
      <c r="X137" t="s">
        <v>872</v>
      </c>
    </row>
    <row r="138" spans="1:24" x14ac:dyDescent="0.25">
      <c r="A138" s="4">
        <v>137</v>
      </c>
      <c r="B138" s="4" t="s">
        <v>80</v>
      </c>
      <c r="C138" s="31">
        <v>6.01</v>
      </c>
      <c r="D138" s="4">
        <v>1994</v>
      </c>
      <c r="E138" s="5" t="s">
        <v>78</v>
      </c>
      <c r="F138" s="10" t="s">
        <v>79</v>
      </c>
      <c r="G138" s="5" t="s">
        <v>282</v>
      </c>
      <c r="H138" s="5" t="s">
        <v>283</v>
      </c>
      <c r="I138" s="5" t="s">
        <v>77</v>
      </c>
      <c r="J138" s="10" t="s">
        <v>229</v>
      </c>
      <c r="K138" s="10"/>
      <c r="L138" s="10"/>
      <c r="M138" s="4">
        <v>7.3</v>
      </c>
      <c r="N138" s="4">
        <v>68</v>
      </c>
      <c r="O138" s="4">
        <v>3.4</v>
      </c>
      <c r="P138" s="22">
        <f t="shared" si="16"/>
        <v>6.9666666666666659</v>
      </c>
      <c r="Q138" s="22">
        <f t="shared" si="17"/>
        <v>6.7275</v>
      </c>
      <c r="R138" s="30">
        <f t="shared" si="18"/>
        <v>6</v>
      </c>
      <c r="S138" s="22">
        <f t="shared" si="19"/>
        <v>3</v>
      </c>
      <c r="T138" s="28">
        <v>44714</v>
      </c>
      <c r="U138" s="28" t="s">
        <v>805</v>
      </c>
      <c r="V138">
        <v>107</v>
      </c>
      <c r="W138" t="s">
        <v>964</v>
      </c>
      <c r="X138" t="s">
        <v>872</v>
      </c>
    </row>
    <row r="139" spans="1:24" x14ac:dyDescent="0.25">
      <c r="A139" s="4">
        <v>138</v>
      </c>
      <c r="B139" s="4" t="s">
        <v>193</v>
      </c>
      <c r="C139" s="31">
        <v>5.93</v>
      </c>
      <c r="D139" s="4">
        <v>1994</v>
      </c>
      <c r="E139" s="10" t="s">
        <v>309</v>
      </c>
      <c r="F139" s="10" t="s">
        <v>310</v>
      </c>
      <c r="G139" s="10" t="s">
        <v>311</v>
      </c>
      <c r="H139" s="10" t="s">
        <v>312</v>
      </c>
      <c r="I139" s="10" t="s">
        <v>196</v>
      </c>
      <c r="J139" t="s">
        <v>220</v>
      </c>
      <c r="K139" t="s">
        <v>235</v>
      </c>
      <c r="L139" s="10" t="s">
        <v>229</v>
      </c>
      <c r="M139" s="4">
        <v>6.4</v>
      </c>
      <c r="N139" s="4">
        <v>36</v>
      </c>
      <c r="O139" s="4">
        <v>3.2</v>
      </c>
      <c r="P139" s="22">
        <f t="shared" si="16"/>
        <v>5.4666666666666659</v>
      </c>
      <c r="Q139" s="22">
        <f t="shared" si="17"/>
        <v>5.5824999999999996</v>
      </c>
      <c r="R139" s="30">
        <f t="shared" si="18"/>
        <v>5</v>
      </c>
      <c r="S139" s="22">
        <f t="shared" si="19"/>
        <v>2.5</v>
      </c>
      <c r="T139" s="28">
        <v>45106</v>
      </c>
      <c r="U139" s="28" t="s">
        <v>805</v>
      </c>
      <c r="V139">
        <v>107</v>
      </c>
      <c r="W139" t="s">
        <v>964</v>
      </c>
      <c r="X139" t="s">
        <v>872</v>
      </c>
    </row>
    <row r="140" spans="1:24" x14ac:dyDescent="0.25">
      <c r="A140" s="4">
        <v>139</v>
      </c>
      <c r="B140" s="4" t="s">
        <v>444</v>
      </c>
      <c r="C140" s="31">
        <v>5.92</v>
      </c>
      <c r="D140" s="4">
        <v>2016</v>
      </c>
      <c r="E140" s="10" t="s">
        <v>21</v>
      </c>
      <c r="F140" s="10" t="s">
        <v>449</v>
      </c>
      <c r="G140" s="10" t="s">
        <v>382</v>
      </c>
      <c r="H140" s="10" t="s">
        <v>450</v>
      </c>
      <c r="I140" s="10" t="s">
        <v>365</v>
      </c>
      <c r="J140" s="10" t="s">
        <v>218</v>
      </c>
      <c r="K140" s="10" t="s">
        <v>227</v>
      </c>
      <c r="L140" s="10" t="s">
        <v>232</v>
      </c>
      <c r="M140" s="4">
        <v>6.6</v>
      </c>
      <c r="N140" s="4">
        <v>54</v>
      </c>
      <c r="O140" s="4">
        <v>3</v>
      </c>
      <c r="P140" s="22">
        <f t="shared" si="16"/>
        <v>6</v>
      </c>
      <c r="Q140" s="22">
        <f t="shared" si="17"/>
        <v>5.98</v>
      </c>
      <c r="R140" s="30">
        <f t="shared" si="18"/>
        <v>5</v>
      </c>
      <c r="S140" s="22">
        <f t="shared" si="19"/>
        <v>2.5</v>
      </c>
      <c r="T140" s="28">
        <v>45106</v>
      </c>
      <c r="U140" s="28" t="s">
        <v>805</v>
      </c>
      <c r="V140">
        <v>123</v>
      </c>
      <c r="W140" t="s">
        <v>964</v>
      </c>
      <c r="X140" t="s">
        <v>872</v>
      </c>
    </row>
    <row r="141" spans="1:24" x14ac:dyDescent="0.25">
      <c r="A141" s="4">
        <v>140</v>
      </c>
      <c r="B141" s="4" t="s">
        <v>369</v>
      </c>
      <c r="C141" s="31">
        <v>5.91</v>
      </c>
      <c r="D141" s="4">
        <v>2004</v>
      </c>
      <c r="E141" s="10" t="s">
        <v>9</v>
      </c>
      <c r="F141" s="10" t="s">
        <v>375</v>
      </c>
      <c r="G141" s="10" t="s">
        <v>376</v>
      </c>
      <c r="H141" s="10" t="s">
        <v>330</v>
      </c>
      <c r="I141" s="10" t="s">
        <v>45</v>
      </c>
      <c r="J141" t="s">
        <v>225</v>
      </c>
      <c r="K141" s="10" t="s">
        <v>219</v>
      </c>
      <c r="L141" s="10" t="s">
        <v>227</v>
      </c>
      <c r="M141" s="4">
        <v>7.5</v>
      </c>
      <c r="N141" s="4">
        <v>86</v>
      </c>
      <c r="O141" s="4">
        <v>3.9</v>
      </c>
      <c r="P141" s="22">
        <f t="shared" si="16"/>
        <v>7.9666666666666677</v>
      </c>
      <c r="Q141" s="22">
        <f t="shared" si="17"/>
        <v>7.4524999999999997</v>
      </c>
      <c r="R141" s="30">
        <f t="shared" si="18"/>
        <v>5</v>
      </c>
      <c r="S141" s="22">
        <f t="shared" si="19"/>
        <v>2.5</v>
      </c>
      <c r="T141" s="28">
        <v>45339</v>
      </c>
      <c r="U141" s="28" t="s">
        <v>805</v>
      </c>
      <c r="V141">
        <v>120</v>
      </c>
      <c r="W141" t="s">
        <v>964</v>
      </c>
      <c r="X141" t="s">
        <v>872</v>
      </c>
    </row>
    <row r="142" spans="1:24" x14ac:dyDescent="0.25">
      <c r="A142" s="4">
        <v>141</v>
      </c>
      <c r="B142" s="4" t="s">
        <v>389</v>
      </c>
      <c r="C142" s="31">
        <v>5.83</v>
      </c>
      <c r="D142" s="4">
        <v>2014</v>
      </c>
      <c r="E142" s="5" t="s">
        <v>390</v>
      </c>
      <c r="F142" s="10" t="s">
        <v>391</v>
      </c>
      <c r="G142" s="10" t="s">
        <v>392</v>
      </c>
      <c r="H142" s="10" t="s">
        <v>393</v>
      </c>
      <c r="I142" s="10" t="s">
        <v>394</v>
      </c>
      <c r="J142" s="10" t="s">
        <v>218</v>
      </c>
      <c r="K142" s="10" t="s">
        <v>225</v>
      </c>
      <c r="L142" s="10" t="s">
        <v>227</v>
      </c>
      <c r="M142" s="4">
        <v>7.4</v>
      </c>
      <c r="N142" s="4">
        <v>87</v>
      </c>
      <c r="O142" s="4">
        <v>3.8</v>
      </c>
      <c r="P142" s="22">
        <f t="shared" si="16"/>
        <v>7.9000000000000012</v>
      </c>
      <c r="Q142" s="22">
        <f t="shared" si="17"/>
        <v>7.3825000000000003</v>
      </c>
      <c r="R142" s="30">
        <f t="shared" si="18"/>
        <v>5</v>
      </c>
      <c r="S142" s="22">
        <f t="shared" si="19"/>
        <v>2.5</v>
      </c>
      <c r="T142" s="28">
        <v>45106</v>
      </c>
      <c r="U142" s="28" t="s">
        <v>805</v>
      </c>
      <c r="V142">
        <v>101</v>
      </c>
      <c r="W142" t="s">
        <v>964</v>
      </c>
      <c r="X142" t="s">
        <v>872</v>
      </c>
    </row>
    <row r="143" spans="1:24" x14ac:dyDescent="0.25">
      <c r="A143" s="4">
        <v>142</v>
      </c>
      <c r="B143" s="4" t="s">
        <v>787</v>
      </c>
      <c r="C143" s="31">
        <v>5.82</v>
      </c>
      <c r="D143" s="4">
        <v>2019</v>
      </c>
      <c r="E143" s="5" t="s">
        <v>14</v>
      </c>
      <c r="F143" s="10" t="s">
        <v>57</v>
      </c>
      <c r="G143" s="10" t="s">
        <v>260</v>
      </c>
      <c r="H143" s="10" t="s">
        <v>620</v>
      </c>
      <c r="I143" s="10" t="s">
        <v>66</v>
      </c>
      <c r="J143" s="10" t="s">
        <v>219</v>
      </c>
      <c r="K143" s="10" t="s">
        <v>229</v>
      </c>
      <c r="M143" s="4">
        <v>7.6</v>
      </c>
      <c r="N143" s="4">
        <v>85</v>
      </c>
      <c r="O143" s="4">
        <v>3.8</v>
      </c>
      <c r="P143" s="22">
        <f t="shared" si="16"/>
        <v>7.9000000000000012</v>
      </c>
      <c r="Q143" s="22">
        <f t="shared" si="17"/>
        <v>7.3800000000000008</v>
      </c>
      <c r="R143" s="30">
        <f t="shared" si="18"/>
        <v>5</v>
      </c>
      <c r="S143" s="22">
        <f t="shared" si="19"/>
        <v>2.5</v>
      </c>
      <c r="T143" s="28">
        <v>45430</v>
      </c>
      <c r="U143" s="28" t="s">
        <v>805</v>
      </c>
      <c r="V143">
        <v>161</v>
      </c>
      <c r="W143" t="s">
        <v>964</v>
      </c>
      <c r="X143" t="s">
        <v>960</v>
      </c>
    </row>
    <row r="144" spans="1:24" x14ac:dyDescent="0.25">
      <c r="A144" s="4">
        <v>143</v>
      </c>
      <c r="B144" s="4" t="s">
        <v>873</v>
      </c>
      <c r="C144" s="31">
        <v>5.81</v>
      </c>
      <c r="D144" s="4">
        <v>1999</v>
      </c>
      <c r="E144" s="5" t="s">
        <v>72</v>
      </c>
      <c r="F144" s="10" t="s">
        <v>298</v>
      </c>
      <c r="G144" s="10" t="s">
        <v>12</v>
      </c>
      <c r="H144" s="10" t="s">
        <v>844</v>
      </c>
      <c r="I144" s="10" t="s">
        <v>811</v>
      </c>
      <c r="J144" s="10" t="s">
        <v>220</v>
      </c>
      <c r="K144" s="10" t="s">
        <v>231</v>
      </c>
      <c r="L144" s="10" t="s">
        <v>219</v>
      </c>
      <c r="M144" s="4">
        <v>6.6</v>
      </c>
      <c r="N144" s="4">
        <v>47</v>
      </c>
      <c r="O144" s="4">
        <v>3</v>
      </c>
      <c r="P144" s="22">
        <f t="shared" si="16"/>
        <v>5.7666666666666666</v>
      </c>
      <c r="Q144" s="22">
        <f t="shared" si="17"/>
        <v>5.7774999999999999</v>
      </c>
      <c r="R144" s="30">
        <f t="shared" si="18"/>
        <v>5</v>
      </c>
      <c r="S144" s="22">
        <f t="shared" si="19"/>
        <v>2.5</v>
      </c>
      <c r="T144" s="28">
        <v>45841</v>
      </c>
      <c r="U144" s="28" t="s">
        <v>805</v>
      </c>
      <c r="V144">
        <v>137</v>
      </c>
      <c r="W144" t="s">
        <v>976</v>
      </c>
      <c r="X144" t="s">
        <v>967</v>
      </c>
    </row>
    <row r="145" spans="1:198" x14ac:dyDescent="0.25">
      <c r="A145" s="4">
        <v>144</v>
      </c>
      <c r="B145" s="4" t="s">
        <v>482</v>
      </c>
      <c r="C145" s="31">
        <v>5.73</v>
      </c>
      <c r="D145" s="4">
        <v>2003</v>
      </c>
      <c r="E145" s="5" t="s">
        <v>483</v>
      </c>
      <c r="F145" s="10" t="s">
        <v>96</v>
      </c>
      <c r="G145" s="10" t="s">
        <v>11</v>
      </c>
      <c r="H145" s="10" t="s">
        <v>484</v>
      </c>
      <c r="I145" s="10" t="s">
        <v>162</v>
      </c>
      <c r="J145" s="10" t="s">
        <v>229</v>
      </c>
      <c r="M145" s="4">
        <v>7</v>
      </c>
      <c r="N145" s="4">
        <v>60</v>
      </c>
      <c r="O145" s="4">
        <v>3.2</v>
      </c>
      <c r="P145" s="22">
        <f t="shared" si="16"/>
        <v>6.4666666666666659</v>
      </c>
      <c r="Q145" s="22">
        <f t="shared" si="17"/>
        <v>6.2825000000000006</v>
      </c>
      <c r="R145" s="30">
        <f t="shared" si="18"/>
        <v>5</v>
      </c>
      <c r="S145" s="22">
        <f t="shared" si="19"/>
        <v>2.5</v>
      </c>
      <c r="T145" s="28">
        <v>45114</v>
      </c>
      <c r="U145" s="28" t="s">
        <v>805</v>
      </c>
      <c r="V145">
        <v>88</v>
      </c>
      <c r="W145" t="s">
        <v>964</v>
      </c>
      <c r="X145" t="s">
        <v>872</v>
      </c>
    </row>
    <row r="146" spans="1:198" x14ac:dyDescent="0.25">
      <c r="A146" s="4">
        <v>145</v>
      </c>
      <c r="B146" s="4" t="s">
        <v>106</v>
      </c>
      <c r="C146" s="31">
        <v>5.72</v>
      </c>
      <c r="D146" s="4">
        <v>2019</v>
      </c>
      <c r="E146" s="5" t="s">
        <v>32</v>
      </c>
      <c r="F146" s="10" t="s">
        <v>44</v>
      </c>
      <c r="G146" s="10" t="s">
        <v>34</v>
      </c>
      <c r="H146" s="10" t="s">
        <v>335</v>
      </c>
      <c r="I146" s="10" t="s">
        <v>37</v>
      </c>
      <c r="J146" s="10" t="s">
        <v>225</v>
      </c>
      <c r="K146" s="10" t="s">
        <v>219</v>
      </c>
      <c r="L146" s="10" t="s">
        <v>717</v>
      </c>
      <c r="M146" s="4">
        <v>7.8</v>
      </c>
      <c r="N146" s="4">
        <v>96</v>
      </c>
      <c r="O146" s="4">
        <v>3.9</v>
      </c>
      <c r="P146" s="22">
        <f t="shared" si="16"/>
        <v>8.4</v>
      </c>
      <c r="Q146" s="22">
        <f t="shared" si="17"/>
        <v>7.7299999999999995</v>
      </c>
      <c r="R146" s="30">
        <f t="shared" si="18"/>
        <v>5</v>
      </c>
      <c r="S146" s="22">
        <f t="shared" si="19"/>
        <v>2.5</v>
      </c>
      <c r="T146" s="28">
        <v>44757</v>
      </c>
      <c r="U146" s="28" t="s">
        <v>805</v>
      </c>
      <c r="V146">
        <v>209</v>
      </c>
      <c r="W146" t="s">
        <v>964</v>
      </c>
      <c r="X146" t="s">
        <v>974</v>
      </c>
    </row>
    <row r="147" spans="1:198" x14ac:dyDescent="0.25">
      <c r="A147" s="4">
        <v>146</v>
      </c>
      <c r="B147" s="4" t="s">
        <v>407</v>
      </c>
      <c r="C147" s="31">
        <v>5.71</v>
      </c>
      <c r="D147" s="4">
        <v>2005</v>
      </c>
      <c r="E147" s="5" t="s">
        <v>11</v>
      </c>
      <c r="F147" s="10" t="s">
        <v>408</v>
      </c>
      <c r="G147" s="10" t="s">
        <v>409</v>
      </c>
      <c r="H147" s="10" t="s">
        <v>410</v>
      </c>
      <c r="I147" s="10" t="s">
        <v>411</v>
      </c>
      <c r="J147" s="10" t="s">
        <v>220</v>
      </c>
      <c r="K147" s="10" t="s">
        <v>229</v>
      </c>
      <c r="L147" s="10" t="s">
        <v>231</v>
      </c>
      <c r="M147" s="4">
        <v>5.6</v>
      </c>
      <c r="N147" s="4">
        <v>41</v>
      </c>
      <c r="O147" s="4">
        <v>2.8</v>
      </c>
      <c r="P147" s="22">
        <f t="shared" si="16"/>
        <v>5.0999999999999996</v>
      </c>
      <c r="Q147" s="22">
        <f t="shared" si="17"/>
        <v>5.2524999999999995</v>
      </c>
      <c r="R147" s="30">
        <f t="shared" si="18"/>
        <v>5</v>
      </c>
      <c r="S147" s="22">
        <f t="shared" si="19"/>
        <v>2.5</v>
      </c>
      <c r="T147" s="28">
        <v>45094</v>
      </c>
      <c r="U147" s="28" t="s">
        <v>805</v>
      </c>
      <c r="V147">
        <v>95</v>
      </c>
      <c r="W147" t="s">
        <v>964</v>
      </c>
      <c r="X147" t="s">
        <v>872</v>
      </c>
    </row>
    <row r="148" spans="1:198" x14ac:dyDescent="0.25">
      <c r="A148" s="4">
        <v>147</v>
      </c>
      <c r="B148" s="4" t="s">
        <v>776</v>
      </c>
      <c r="C148" s="31">
        <v>5.63</v>
      </c>
      <c r="D148" s="4">
        <v>2007</v>
      </c>
      <c r="E148" s="10" t="s">
        <v>11</v>
      </c>
      <c r="F148" s="10" t="s">
        <v>905</v>
      </c>
      <c r="G148" s="10" t="s">
        <v>578</v>
      </c>
      <c r="H148" s="10" t="s">
        <v>936</v>
      </c>
      <c r="I148" s="10" t="s">
        <v>937</v>
      </c>
      <c r="J148" s="10" t="s">
        <v>229</v>
      </c>
      <c r="K148" s="10" t="s">
        <v>220</v>
      </c>
      <c r="M148" s="4">
        <v>6.3</v>
      </c>
      <c r="N148" s="4">
        <v>7</v>
      </c>
      <c r="O148" s="4">
        <v>3.1</v>
      </c>
      <c r="P148" s="22">
        <f t="shared" si="16"/>
        <v>4.3999999999999995</v>
      </c>
      <c r="Q148" s="22">
        <f t="shared" si="17"/>
        <v>4.7074999999999996</v>
      </c>
      <c r="R148" s="30">
        <f t="shared" si="18"/>
        <v>5</v>
      </c>
      <c r="S148" s="22">
        <f t="shared" si="19"/>
        <v>2.5</v>
      </c>
      <c r="T148" s="28">
        <v>45919</v>
      </c>
      <c r="U148" s="28" t="s">
        <v>805</v>
      </c>
      <c r="V148">
        <v>93</v>
      </c>
      <c r="W148" t="s">
        <v>964</v>
      </c>
      <c r="X148" t="s">
        <v>960</v>
      </c>
    </row>
    <row r="149" spans="1:198" x14ac:dyDescent="0.25">
      <c r="A149" s="4">
        <v>148</v>
      </c>
      <c r="B149" s="4" t="s">
        <v>239</v>
      </c>
      <c r="C149" s="31">
        <v>5.62</v>
      </c>
      <c r="D149" s="4">
        <v>2011</v>
      </c>
      <c r="E149" s="10" t="s">
        <v>158</v>
      </c>
      <c r="F149" s="10" t="s">
        <v>159</v>
      </c>
      <c r="G149" s="10" t="s">
        <v>161</v>
      </c>
      <c r="H149" s="10" t="s">
        <v>160</v>
      </c>
      <c r="I149" s="10" t="s">
        <v>162</v>
      </c>
      <c r="J149" s="10" t="s">
        <v>229</v>
      </c>
      <c r="K149" s="10"/>
      <c r="M149" s="4">
        <v>6.5</v>
      </c>
      <c r="N149" s="4">
        <v>33</v>
      </c>
      <c r="O149" s="4">
        <v>3.1</v>
      </c>
      <c r="P149" s="22">
        <f t="shared" si="16"/>
        <v>5.333333333333333</v>
      </c>
      <c r="Q149" s="22">
        <f t="shared" si="17"/>
        <v>5.4050000000000002</v>
      </c>
      <c r="R149" s="30">
        <f t="shared" si="18"/>
        <v>5</v>
      </c>
      <c r="S149" s="22">
        <f t="shared" si="19"/>
        <v>2.5</v>
      </c>
      <c r="T149" s="28">
        <v>45071</v>
      </c>
      <c r="U149" s="28" t="s">
        <v>805</v>
      </c>
      <c r="V149">
        <v>102</v>
      </c>
      <c r="W149" t="s">
        <v>964</v>
      </c>
      <c r="X149" t="s">
        <v>872</v>
      </c>
    </row>
    <row r="150" spans="1:198" x14ac:dyDescent="0.25">
      <c r="A150" s="4">
        <v>149</v>
      </c>
      <c r="B150" s="4" t="s">
        <v>238</v>
      </c>
      <c r="C150" s="31">
        <v>5.61</v>
      </c>
      <c r="D150" s="4">
        <v>2013</v>
      </c>
      <c r="E150" s="10" t="s">
        <v>158</v>
      </c>
      <c r="F150" s="10" t="s">
        <v>159</v>
      </c>
      <c r="G150" s="10" t="s">
        <v>161</v>
      </c>
      <c r="H150" s="10" t="s">
        <v>160</v>
      </c>
      <c r="I150" s="10" t="s">
        <v>162</v>
      </c>
      <c r="J150" s="10" t="s">
        <v>229</v>
      </c>
      <c r="K150" s="10"/>
      <c r="M150" s="4">
        <v>5.8</v>
      </c>
      <c r="N150" s="4">
        <v>20</v>
      </c>
      <c r="O150" s="4">
        <v>2.7</v>
      </c>
      <c r="P150" s="22">
        <f t="shared" si="16"/>
        <v>4.3999999999999995</v>
      </c>
      <c r="Q150" s="22">
        <f t="shared" si="17"/>
        <v>4.7025000000000006</v>
      </c>
      <c r="R150" s="30">
        <f t="shared" si="18"/>
        <v>5</v>
      </c>
      <c r="S150" s="22">
        <f t="shared" si="19"/>
        <v>2.5</v>
      </c>
      <c r="T150" s="28">
        <v>45071</v>
      </c>
      <c r="U150" s="28" t="s">
        <v>805</v>
      </c>
      <c r="V150">
        <v>100</v>
      </c>
      <c r="W150" t="s">
        <v>964</v>
      </c>
      <c r="X150" t="s">
        <v>872</v>
      </c>
    </row>
    <row r="151" spans="1:198" x14ac:dyDescent="0.25">
      <c r="A151" s="4">
        <v>150</v>
      </c>
      <c r="B151" s="4" t="s">
        <v>772</v>
      </c>
      <c r="C151" s="31">
        <v>5.53</v>
      </c>
      <c r="D151" s="4">
        <v>2002</v>
      </c>
      <c r="E151" s="10" t="s">
        <v>9</v>
      </c>
      <c r="F151" s="10" t="s">
        <v>818</v>
      </c>
      <c r="G151" s="10" t="s">
        <v>941</v>
      </c>
      <c r="H151" s="10" t="s">
        <v>942</v>
      </c>
      <c r="I151" s="10" t="s">
        <v>69</v>
      </c>
      <c r="J151" s="10" t="s">
        <v>233</v>
      </c>
      <c r="K151" t="s">
        <v>226</v>
      </c>
      <c r="L151" s="10" t="s">
        <v>225</v>
      </c>
      <c r="M151" s="4">
        <v>7.6</v>
      </c>
      <c r="N151" s="4">
        <v>89</v>
      </c>
      <c r="O151" s="4">
        <v>3.8</v>
      </c>
      <c r="P151" s="22">
        <f t="shared" si="16"/>
        <v>8.0333333333333332</v>
      </c>
      <c r="Q151" s="22">
        <f t="shared" si="17"/>
        <v>7.4075000000000006</v>
      </c>
      <c r="R151" s="30">
        <f t="shared" si="18"/>
        <v>5</v>
      </c>
      <c r="S151" s="22">
        <f t="shared" si="19"/>
        <v>2.5</v>
      </c>
      <c r="T151" s="28">
        <v>45933</v>
      </c>
      <c r="U151" s="28" t="s">
        <v>805</v>
      </c>
      <c r="V151">
        <v>145</v>
      </c>
      <c r="W151" t="s">
        <v>964</v>
      </c>
      <c r="X151" t="s">
        <v>970</v>
      </c>
    </row>
    <row r="152" spans="1:198" s="9" customFormat="1" x14ac:dyDescent="0.25">
      <c r="A152" s="4">
        <v>151</v>
      </c>
      <c r="B152" s="4" t="s">
        <v>116</v>
      </c>
      <c r="C152" s="31">
        <v>5.52</v>
      </c>
      <c r="D152" s="4">
        <v>2012</v>
      </c>
      <c r="E152" s="5" t="s">
        <v>26</v>
      </c>
      <c r="F152" s="10" t="s">
        <v>117</v>
      </c>
      <c r="G152" s="10" t="s">
        <v>118</v>
      </c>
      <c r="H152" s="10" t="s">
        <v>342</v>
      </c>
      <c r="I152" s="10" t="s">
        <v>118</v>
      </c>
      <c r="J152" s="10" t="s">
        <v>229</v>
      </c>
      <c r="K152"/>
      <c r="L152"/>
      <c r="M152" s="4">
        <v>6.9</v>
      </c>
      <c r="N152" s="4">
        <v>69</v>
      </c>
      <c r="O152" s="4">
        <v>3.1</v>
      </c>
      <c r="P152" s="22">
        <f t="shared" si="16"/>
        <v>6.666666666666667</v>
      </c>
      <c r="Q152" s="22">
        <f t="shared" si="17"/>
        <v>6.38</v>
      </c>
      <c r="R152" s="30">
        <f t="shared" si="18"/>
        <v>5</v>
      </c>
      <c r="S152" s="22">
        <f t="shared" si="19"/>
        <v>2.5</v>
      </c>
      <c r="T152" s="28">
        <v>45062</v>
      </c>
      <c r="U152" s="28" t="s">
        <v>805</v>
      </c>
      <c r="V152">
        <v>106</v>
      </c>
      <c r="W152" t="s">
        <v>964</v>
      </c>
      <c r="X152" t="s">
        <v>872</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25">
      <c r="A153" s="4">
        <v>152</v>
      </c>
      <c r="B153" s="4" t="s">
        <v>194</v>
      </c>
      <c r="C153" s="31">
        <v>5.51</v>
      </c>
      <c r="D153" s="4">
        <v>2005</v>
      </c>
      <c r="E153" s="10" t="s">
        <v>109</v>
      </c>
      <c r="F153" s="10" t="s">
        <v>110</v>
      </c>
      <c r="G153" s="10" t="s">
        <v>199</v>
      </c>
      <c r="H153" s="10" t="s">
        <v>197</v>
      </c>
      <c r="I153" s="10" t="s">
        <v>198</v>
      </c>
      <c r="J153" s="10" t="s">
        <v>229</v>
      </c>
      <c r="K153" s="10" t="s">
        <v>231</v>
      </c>
      <c r="M153" s="4">
        <v>7.1</v>
      </c>
      <c r="N153" s="4">
        <v>85</v>
      </c>
      <c r="O153" s="4">
        <v>3.3</v>
      </c>
      <c r="P153" s="22">
        <f t="shared" si="16"/>
        <v>7.3999999999999995</v>
      </c>
      <c r="Q153" s="22">
        <f t="shared" si="17"/>
        <v>6.9275000000000002</v>
      </c>
      <c r="R153" s="30">
        <f t="shared" si="18"/>
        <v>5</v>
      </c>
      <c r="S153" s="22">
        <f t="shared" si="19"/>
        <v>2.5</v>
      </c>
      <c r="T153" s="28">
        <v>45106</v>
      </c>
      <c r="U153" s="28" t="s">
        <v>805</v>
      </c>
      <c r="V153">
        <v>116</v>
      </c>
      <c r="W153" t="s">
        <v>964</v>
      </c>
      <c r="X153" t="s">
        <v>872</v>
      </c>
    </row>
    <row r="154" spans="1:198" x14ac:dyDescent="0.25">
      <c r="A154" s="4">
        <v>153</v>
      </c>
      <c r="B154" s="4" t="s">
        <v>859</v>
      </c>
      <c r="C154" s="31">
        <v>5.43</v>
      </c>
      <c r="D154" s="4">
        <v>2005</v>
      </c>
      <c r="E154" s="10" t="s">
        <v>17</v>
      </c>
      <c r="F154" s="10" t="s">
        <v>44</v>
      </c>
      <c r="G154" s="10" t="s">
        <v>842</v>
      </c>
      <c r="H154" s="10" t="s">
        <v>907</v>
      </c>
      <c r="I154" s="10" t="s">
        <v>946</v>
      </c>
      <c r="J154" s="10" t="s">
        <v>220</v>
      </c>
      <c r="K154" s="10" t="s">
        <v>219</v>
      </c>
      <c r="L154" s="10" t="s">
        <v>225</v>
      </c>
      <c r="M154" s="4">
        <v>6.2</v>
      </c>
      <c r="N154" s="4">
        <v>22</v>
      </c>
      <c r="O154" s="4">
        <v>2.9</v>
      </c>
      <c r="P154" s="22">
        <f t="shared" si="16"/>
        <v>4.7333333333333334</v>
      </c>
      <c r="Q154" s="22">
        <f t="shared" si="17"/>
        <v>4.9074999999999998</v>
      </c>
      <c r="R154" s="30">
        <f t="shared" si="18"/>
        <v>5</v>
      </c>
      <c r="S154" s="22">
        <f t="shared" si="19"/>
        <v>2.5</v>
      </c>
      <c r="T154" s="28">
        <v>46009</v>
      </c>
      <c r="U154" s="28" t="s">
        <v>805</v>
      </c>
      <c r="V154">
        <v>122</v>
      </c>
      <c r="W154" t="s">
        <v>964</v>
      </c>
      <c r="X154" t="s">
        <v>872</v>
      </c>
    </row>
    <row r="155" spans="1:198" x14ac:dyDescent="0.25">
      <c r="A155" s="4">
        <v>154</v>
      </c>
      <c r="B155" s="4" t="s">
        <v>754</v>
      </c>
      <c r="C155" s="31">
        <v>5.42</v>
      </c>
      <c r="D155" s="4">
        <v>2023</v>
      </c>
      <c r="E155" s="10" t="s">
        <v>416</v>
      </c>
      <c r="F155" s="10" t="s">
        <v>901</v>
      </c>
      <c r="G155" s="10" t="s">
        <v>902</v>
      </c>
      <c r="H155" s="10" t="s">
        <v>903</v>
      </c>
      <c r="I155" s="10" t="s">
        <v>753</v>
      </c>
      <c r="J155" s="10" t="s">
        <v>231</v>
      </c>
      <c r="K155" s="10" t="s">
        <v>229</v>
      </c>
      <c r="M155" s="4">
        <v>6.1</v>
      </c>
      <c r="N155" s="4">
        <v>54</v>
      </c>
      <c r="O155" s="4">
        <v>2.8</v>
      </c>
      <c r="P155" s="22">
        <f t="shared" si="16"/>
        <v>5.7</v>
      </c>
      <c r="Q155" s="22">
        <f t="shared" si="17"/>
        <v>5.6300000000000008</v>
      </c>
      <c r="R155" s="30">
        <f t="shared" si="18"/>
        <v>5</v>
      </c>
      <c r="S155" s="22">
        <f t="shared" si="19"/>
        <v>2.5</v>
      </c>
      <c r="T155" s="28">
        <v>45838</v>
      </c>
      <c r="U155" s="28" t="s">
        <v>805</v>
      </c>
      <c r="V155">
        <v>103</v>
      </c>
      <c r="W155" t="s">
        <v>964</v>
      </c>
      <c r="X155" t="s">
        <v>872</v>
      </c>
    </row>
    <row r="156" spans="1:198" x14ac:dyDescent="0.25">
      <c r="A156" s="4">
        <v>155</v>
      </c>
      <c r="B156" s="4" t="s">
        <v>534</v>
      </c>
      <c r="C156" s="31">
        <v>5.41</v>
      </c>
      <c r="D156" s="4">
        <v>1993</v>
      </c>
      <c r="E156" s="5" t="s">
        <v>9</v>
      </c>
      <c r="F156" s="10" t="s">
        <v>535</v>
      </c>
      <c r="G156" s="10" t="s">
        <v>536</v>
      </c>
      <c r="H156" s="10" t="s">
        <v>537</v>
      </c>
      <c r="I156" s="10" t="s">
        <v>538</v>
      </c>
      <c r="J156" s="10" t="s">
        <v>219</v>
      </c>
      <c r="K156" s="10" t="s">
        <v>226</v>
      </c>
      <c r="L156" t="s">
        <v>718</v>
      </c>
      <c r="M156" s="4">
        <v>6.9</v>
      </c>
      <c r="N156" s="4">
        <v>75</v>
      </c>
      <c r="O156" s="4">
        <v>3.5</v>
      </c>
      <c r="P156" s="22">
        <f t="shared" si="16"/>
        <v>7.1333333333333329</v>
      </c>
      <c r="Q156" s="22">
        <f t="shared" si="17"/>
        <v>6.7025000000000006</v>
      </c>
      <c r="R156" s="30">
        <f t="shared" si="18"/>
        <v>5</v>
      </c>
      <c r="S156" s="22">
        <f t="shared" si="19"/>
        <v>2.5</v>
      </c>
      <c r="T156" s="28">
        <v>45281</v>
      </c>
      <c r="U156" s="28" t="s">
        <v>805</v>
      </c>
      <c r="V156">
        <v>154</v>
      </c>
      <c r="W156" t="s">
        <v>964</v>
      </c>
      <c r="X156" t="s">
        <v>872</v>
      </c>
    </row>
    <row r="157" spans="1:198" x14ac:dyDescent="0.25">
      <c r="A157" s="4">
        <v>156</v>
      </c>
      <c r="B157" s="4" t="s">
        <v>221</v>
      </c>
      <c r="C157" s="31">
        <v>5.33</v>
      </c>
      <c r="D157" s="4">
        <v>2008</v>
      </c>
      <c r="E157" s="10" t="s">
        <v>32</v>
      </c>
      <c r="F157" s="10" t="s">
        <v>44</v>
      </c>
      <c r="G157" s="10" t="s">
        <v>222</v>
      </c>
      <c r="H157" s="10" t="s">
        <v>223</v>
      </c>
      <c r="I157" s="10" t="s">
        <v>224</v>
      </c>
      <c r="J157" s="10" t="s">
        <v>225</v>
      </c>
      <c r="K157" s="10" t="s">
        <v>226</v>
      </c>
      <c r="L157" s="10" t="s">
        <v>227</v>
      </c>
      <c r="M157" s="4">
        <v>6</v>
      </c>
      <c r="N157" s="4">
        <v>18</v>
      </c>
      <c r="O157" s="4">
        <v>2.5</v>
      </c>
      <c r="P157" s="22">
        <f t="shared" si="16"/>
        <v>4.2666666666666666</v>
      </c>
      <c r="Q157" s="22">
        <f t="shared" si="17"/>
        <v>4.5325000000000006</v>
      </c>
      <c r="R157" s="30">
        <f t="shared" si="18"/>
        <v>5</v>
      </c>
      <c r="S157" s="22">
        <f t="shared" si="19"/>
        <v>2.5</v>
      </c>
      <c r="T157" s="28">
        <v>45076</v>
      </c>
      <c r="U157" s="28" t="s">
        <v>805</v>
      </c>
      <c r="V157">
        <v>101</v>
      </c>
      <c r="W157" t="s">
        <v>964</v>
      </c>
      <c r="X157" t="s">
        <v>872</v>
      </c>
    </row>
    <row r="158" spans="1:198" x14ac:dyDescent="0.25">
      <c r="A158" s="4">
        <v>157</v>
      </c>
      <c r="B158" s="4" t="s">
        <v>398</v>
      </c>
      <c r="C158" s="31">
        <v>5.32</v>
      </c>
      <c r="D158" s="4">
        <v>2017</v>
      </c>
      <c r="E158" s="5" t="s">
        <v>390</v>
      </c>
      <c r="F158" s="10" t="s">
        <v>399</v>
      </c>
      <c r="G158" s="10" t="s">
        <v>400</v>
      </c>
      <c r="H158" s="10" t="s">
        <v>401</v>
      </c>
      <c r="I158" s="10" t="s">
        <v>394</v>
      </c>
      <c r="J158" s="10" t="s">
        <v>218</v>
      </c>
      <c r="K158" s="10" t="s">
        <v>225</v>
      </c>
      <c r="L158" s="10" t="s">
        <v>227</v>
      </c>
      <c r="M158" s="4">
        <v>7.4</v>
      </c>
      <c r="N158" s="4">
        <v>89</v>
      </c>
      <c r="O158" s="4">
        <v>3.7</v>
      </c>
      <c r="P158" s="22">
        <f t="shared" si="16"/>
        <v>7.9000000000000012</v>
      </c>
      <c r="Q158" s="22">
        <f t="shared" si="17"/>
        <v>7.2550000000000008</v>
      </c>
      <c r="R158" s="30">
        <f t="shared" si="18"/>
        <v>5</v>
      </c>
      <c r="S158" s="22">
        <f t="shared" si="19"/>
        <v>2.5</v>
      </c>
      <c r="T158" s="28">
        <v>45106</v>
      </c>
      <c r="U158" s="28" t="s">
        <v>805</v>
      </c>
      <c r="V158">
        <v>122</v>
      </c>
      <c r="W158" t="s">
        <v>964</v>
      </c>
      <c r="X158" t="s">
        <v>872</v>
      </c>
    </row>
    <row r="159" spans="1:198" x14ac:dyDescent="0.25">
      <c r="A159" s="4">
        <v>158</v>
      </c>
      <c r="B159" s="4" t="s">
        <v>554</v>
      </c>
      <c r="C159" s="31">
        <v>5.31</v>
      </c>
      <c r="D159" s="4">
        <v>2011</v>
      </c>
      <c r="E159" s="5" t="s">
        <v>559</v>
      </c>
      <c r="F159" s="10" t="s">
        <v>560</v>
      </c>
      <c r="G159" s="10" t="s">
        <v>561</v>
      </c>
      <c r="H159" s="10" t="s">
        <v>562</v>
      </c>
      <c r="I159" s="10" t="s">
        <v>563</v>
      </c>
      <c r="J159" s="10" t="s">
        <v>220</v>
      </c>
      <c r="K159" s="10" t="s">
        <v>229</v>
      </c>
      <c r="L159" t="s">
        <v>219</v>
      </c>
      <c r="M159" s="4">
        <v>6.8</v>
      </c>
      <c r="N159" s="4">
        <v>81</v>
      </c>
      <c r="O159" s="4">
        <v>3.3</v>
      </c>
      <c r="P159" s="22">
        <f t="shared" si="16"/>
        <v>7.166666666666667</v>
      </c>
      <c r="Q159" s="22">
        <f t="shared" si="17"/>
        <v>6.7025000000000006</v>
      </c>
      <c r="R159" s="30">
        <f t="shared" si="18"/>
        <v>5</v>
      </c>
      <c r="S159" s="22">
        <f t="shared" si="19"/>
        <v>2.5</v>
      </c>
      <c r="T159" s="28">
        <v>45321</v>
      </c>
      <c r="U159" s="28" t="s">
        <v>805</v>
      </c>
      <c r="V159">
        <v>92</v>
      </c>
      <c r="W159" t="s">
        <v>964</v>
      </c>
      <c r="X159" t="s">
        <v>872</v>
      </c>
    </row>
    <row r="160" spans="1:198" x14ac:dyDescent="0.25">
      <c r="A160" s="4">
        <v>159</v>
      </c>
      <c r="B160" s="4" t="s">
        <v>119</v>
      </c>
      <c r="C160" s="31">
        <v>5.23</v>
      </c>
      <c r="D160" s="4">
        <v>2010</v>
      </c>
      <c r="E160" s="5" t="s">
        <v>49</v>
      </c>
      <c r="F160" s="10" t="s">
        <v>121</v>
      </c>
      <c r="G160" s="10" t="s">
        <v>228</v>
      </c>
      <c r="H160" s="10" t="s">
        <v>120</v>
      </c>
      <c r="I160" s="10" t="s">
        <v>50</v>
      </c>
      <c r="J160" s="10" t="s">
        <v>229</v>
      </c>
      <c r="M160" s="4">
        <v>5.9</v>
      </c>
      <c r="N160" s="4">
        <v>11</v>
      </c>
      <c r="O160" s="4">
        <v>3.3</v>
      </c>
      <c r="P160" s="22">
        <f t="shared" si="16"/>
        <v>4.5333333333333332</v>
      </c>
      <c r="Q160" s="22">
        <f t="shared" si="17"/>
        <v>4.7074999999999996</v>
      </c>
      <c r="R160" s="30">
        <f t="shared" si="18"/>
        <v>5</v>
      </c>
      <c r="S160" s="22">
        <f t="shared" si="19"/>
        <v>2.5</v>
      </c>
      <c r="T160" s="28">
        <v>44671</v>
      </c>
      <c r="U160" s="28" t="s">
        <v>805</v>
      </c>
      <c r="V160">
        <v>102</v>
      </c>
      <c r="W160" t="s">
        <v>964</v>
      </c>
      <c r="X160" t="s">
        <v>977</v>
      </c>
    </row>
    <row r="161" spans="1:24" x14ac:dyDescent="0.25">
      <c r="A161" s="4">
        <v>160</v>
      </c>
      <c r="B161" s="4" t="s">
        <v>98</v>
      </c>
      <c r="C161" s="31">
        <v>5.22</v>
      </c>
      <c r="D161" s="4">
        <v>2012</v>
      </c>
      <c r="E161" s="5" t="s">
        <v>99</v>
      </c>
      <c r="F161" s="10" t="s">
        <v>100</v>
      </c>
      <c r="G161" s="10" t="s">
        <v>327</v>
      </c>
      <c r="H161" s="10" t="s">
        <v>328</v>
      </c>
      <c r="I161" s="10" t="s">
        <v>101</v>
      </c>
      <c r="J161" s="10" t="s">
        <v>229</v>
      </c>
      <c r="M161" s="4">
        <v>6.6</v>
      </c>
      <c r="N161" s="4">
        <v>28</v>
      </c>
      <c r="O161" s="4">
        <v>3.3</v>
      </c>
      <c r="P161" s="22">
        <f t="shared" si="16"/>
        <v>5.333333333333333</v>
      </c>
      <c r="Q161" s="22">
        <f t="shared" si="17"/>
        <v>5.3049999999999997</v>
      </c>
      <c r="R161" s="30">
        <f t="shared" si="18"/>
        <v>5</v>
      </c>
      <c r="S161" s="22">
        <f t="shared" si="19"/>
        <v>2.5</v>
      </c>
      <c r="T161" s="28">
        <v>44482</v>
      </c>
      <c r="U161" s="28" t="s">
        <v>805</v>
      </c>
      <c r="V161">
        <v>88</v>
      </c>
      <c r="W161" t="s">
        <v>964</v>
      </c>
      <c r="X161" t="s">
        <v>872</v>
      </c>
    </row>
    <row r="162" spans="1:24" x14ac:dyDescent="0.25">
      <c r="A162" s="4">
        <v>161</v>
      </c>
      <c r="B162" s="4" t="s">
        <v>203</v>
      </c>
      <c r="C162" s="31">
        <v>5.21</v>
      </c>
      <c r="D162" s="4">
        <v>2009</v>
      </c>
      <c r="E162" s="10" t="s">
        <v>303</v>
      </c>
      <c r="F162" s="10" t="s">
        <v>304</v>
      </c>
      <c r="G162" s="10" t="s">
        <v>305</v>
      </c>
      <c r="H162" s="10" t="s">
        <v>306</v>
      </c>
      <c r="I162" s="10" t="s">
        <v>204</v>
      </c>
      <c r="J162" t="s">
        <v>220</v>
      </c>
      <c r="K162" t="s">
        <v>219</v>
      </c>
      <c r="L162" s="10" t="s">
        <v>230</v>
      </c>
      <c r="M162" s="4">
        <v>7.6</v>
      </c>
      <c r="N162" s="4">
        <v>66</v>
      </c>
      <c r="O162" s="4">
        <v>3.4</v>
      </c>
      <c r="P162" s="22">
        <f t="shared" ref="P162:P193" si="20">(M162+(N162/10)+(O162*2))/3</f>
        <v>7</v>
      </c>
      <c r="Q162" s="22">
        <f t="shared" ref="Q162:Q189" si="21">(M162+C162+(N162/10)+(O162*2))/4</f>
        <v>6.5524999999999993</v>
      </c>
      <c r="R162" s="30">
        <f t="shared" ref="R162:R189" si="22">IF(C162&gt;=9.5,10,
IF(C162&gt;=9,9,
IF(C162&gt;=8,8,
IF(C162&gt;=7,7,
IF(C162&gt;=6,6,
IF(C162&gt;=5,5,
IF(C162&gt;=4,4,
IF(C162&gt;=3,3,
IF(C162&gt;=1.5,2,
IF(C162&gt;=0,1,""))))))))))</f>
        <v>5</v>
      </c>
      <c r="S162" s="22">
        <f t="shared" ref="S162:S189" si="23">IF(C162&gt;=9.5,5,
IF(C162&gt;=9,4.5,
IF(C162&gt;=8,4,
IF(C162&gt;=7,3.5,
IF(C162&gt;=6,3,
IF(C162&gt;=5,2.5,
IF(C162&gt;=4,2,
IF(C162&gt;=3,1.5,
IF(C162&gt;=1.5,1,
IF(C162&gt;=0,0.5,""))))))))))</f>
        <v>2.5</v>
      </c>
      <c r="T162" s="28">
        <v>45106</v>
      </c>
      <c r="U162" s="28" t="s">
        <v>805</v>
      </c>
      <c r="V162">
        <v>129</v>
      </c>
      <c r="W162" t="s">
        <v>964</v>
      </c>
      <c r="X162" t="s">
        <v>872</v>
      </c>
    </row>
    <row r="163" spans="1:24" x14ac:dyDescent="0.25">
      <c r="A163" s="4">
        <v>162</v>
      </c>
      <c r="B163" s="4" t="s">
        <v>206</v>
      </c>
      <c r="C163" s="31">
        <v>5.13</v>
      </c>
      <c r="D163" s="4">
        <v>2012</v>
      </c>
      <c r="E163" s="5" t="s">
        <v>336</v>
      </c>
      <c r="F163" s="10" t="s">
        <v>337</v>
      </c>
      <c r="G163" s="10" t="s">
        <v>338</v>
      </c>
      <c r="H163" s="10" t="s">
        <v>339</v>
      </c>
      <c r="I163" s="10" t="s">
        <v>207</v>
      </c>
      <c r="J163" s="10" t="s">
        <v>220</v>
      </c>
      <c r="K163" t="s">
        <v>219</v>
      </c>
      <c r="M163" s="4">
        <v>5.9</v>
      </c>
      <c r="N163" s="4">
        <v>41</v>
      </c>
      <c r="O163" s="4">
        <v>3</v>
      </c>
      <c r="P163" s="22">
        <f t="shared" si="20"/>
        <v>5.333333333333333</v>
      </c>
      <c r="Q163" s="22">
        <f t="shared" si="21"/>
        <v>5.2825000000000006</v>
      </c>
      <c r="R163" s="30">
        <f t="shared" si="22"/>
        <v>5</v>
      </c>
      <c r="S163" s="22">
        <f t="shared" si="23"/>
        <v>2.5</v>
      </c>
      <c r="T163" s="28">
        <v>45106</v>
      </c>
      <c r="U163" s="28" t="s">
        <v>805</v>
      </c>
      <c r="V163">
        <v>105</v>
      </c>
      <c r="W163" t="s">
        <v>964</v>
      </c>
      <c r="X163" t="s">
        <v>974</v>
      </c>
    </row>
    <row r="164" spans="1:24" x14ac:dyDescent="0.25">
      <c r="A164" s="4">
        <v>163</v>
      </c>
      <c r="B164" s="4" t="s">
        <v>861</v>
      </c>
      <c r="C164" s="31">
        <v>5.12</v>
      </c>
      <c r="D164" s="4">
        <v>2012</v>
      </c>
      <c r="E164" s="10" t="s">
        <v>896</v>
      </c>
      <c r="F164" s="10" t="s">
        <v>897</v>
      </c>
      <c r="G164" s="10" t="s">
        <v>898</v>
      </c>
      <c r="H164" s="10" t="s">
        <v>899</v>
      </c>
      <c r="I164" s="10" t="s">
        <v>860</v>
      </c>
      <c r="J164" s="10" t="s">
        <v>220</v>
      </c>
      <c r="K164" s="10" t="s">
        <v>229</v>
      </c>
      <c r="L164" s="10" t="s">
        <v>900</v>
      </c>
      <c r="M164" s="4">
        <v>5.0999999999999996</v>
      </c>
      <c r="N164" s="4">
        <v>27</v>
      </c>
      <c r="O164" s="4">
        <v>2.2999999999999998</v>
      </c>
      <c r="P164" s="22">
        <f t="shared" si="20"/>
        <v>4.1333333333333329</v>
      </c>
      <c r="Q164" s="22">
        <f t="shared" si="21"/>
        <v>4.379999999999999</v>
      </c>
      <c r="R164" s="30">
        <f t="shared" si="22"/>
        <v>5</v>
      </c>
      <c r="S164" s="22">
        <f t="shared" si="23"/>
        <v>2.5</v>
      </c>
      <c r="T164" s="28">
        <v>45831</v>
      </c>
      <c r="U164" s="28" t="s">
        <v>805</v>
      </c>
      <c r="V164">
        <v>94</v>
      </c>
      <c r="W164" t="s">
        <v>964</v>
      </c>
      <c r="X164" t="s">
        <v>960</v>
      </c>
    </row>
    <row r="165" spans="1:24" x14ac:dyDescent="0.25">
      <c r="A165" s="4">
        <v>164</v>
      </c>
      <c r="B165" s="4" t="s">
        <v>889</v>
      </c>
      <c r="C165" s="31">
        <v>5.1100000000000003</v>
      </c>
      <c r="D165" s="4">
        <v>2024</v>
      </c>
      <c r="E165" s="5" t="s">
        <v>890</v>
      </c>
      <c r="F165" s="10" t="s">
        <v>128</v>
      </c>
      <c r="G165" s="10" t="s">
        <v>891</v>
      </c>
      <c r="H165" s="10" t="s">
        <v>892</v>
      </c>
      <c r="I165" s="10" t="s">
        <v>542</v>
      </c>
      <c r="J165" s="10" t="s">
        <v>219</v>
      </c>
      <c r="K165" s="10" t="s">
        <v>232</v>
      </c>
      <c r="L165" t="s">
        <v>218</v>
      </c>
      <c r="M165" s="4">
        <v>6.5</v>
      </c>
      <c r="N165" s="4">
        <v>70</v>
      </c>
      <c r="O165" s="4">
        <v>3.2</v>
      </c>
      <c r="P165" s="22">
        <f t="shared" si="20"/>
        <v>6.6333333333333329</v>
      </c>
      <c r="Q165" s="22">
        <f t="shared" si="21"/>
        <v>6.2524999999999995</v>
      </c>
      <c r="R165" s="30">
        <f t="shared" si="22"/>
        <v>5</v>
      </c>
      <c r="S165" s="22">
        <f t="shared" si="23"/>
        <v>2.5</v>
      </c>
      <c r="T165" s="28">
        <v>45827</v>
      </c>
      <c r="U165" s="28" t="s">
        <v>805</v>
      </c>
      <c r="V165">
        <v>148</v>
      </c>
      <c r="W165" t="s">
        <v>964</v>
      </c>
      <c r="X165" t="s">
        <v>872</v>
      </c>
    </row>
    <row r="166" spans="1:24" x14ac:dyDescent="0.25">
      <c r="A166" s="4">
        <v>165</v>
      </c>
      <c r="B166" s="4" t="s">
        <v>131</v>
      </c>
      <c r="C166" s="31">
        <v>5.03</v>
      </c>
      <c r="D166" s="4">
        <v>2010</v>
      </c>
      <c r="E166" s="10" t="s">
        <v>26</v>
      </c>
      <c r="F166" s="10" t="s">
        <v>132</v>
      </c>
      <c r="G166" s="10" t="s">
        <v>133</v>
      </c>
      <c r="H166" s="10" t="s">
        <v>352</v>
      </c>
      <c r="I166" s="10" t="s">
        <v>134</v>
      </c>
      <c r="J166" s="10" t="s">
        <v>220</v>
      </c>
      <c r="K166" s="10" t="s">
        <v>218</v>
      </c>
      <c r="L166" s="10" t="s">
        <v>219</v>
      </c>
      <c r="M166" s="4">
        <v>7.8</v>
      </c>
      <c r="N166" s="4">
        <v>90</v>
      </c>
      <c r="O166" s="4">
        <v>3.8</v>
      </c>
      <c r="P166" s="22">
        <f t="shared" si="20"/>
        <v>8.1333333333333329</v>
      </c>
      <c r="Q166" s="22">
        <f t="shared" si="21"/>
        <v>7.3574999999999999</v>
      </c>
      <c r="R166" s="30">
        <f t="shared" si="22"/>
        <v>5</v>
      </c>
      <c r="S166" s="22">
        <f t="shared" si="23"/>
        <v>2.5</v>
      </c>
      <c r="T166" s="28">
        <v>44743</v>
      </c>
      <c r="U166" s="28" t="s">
        <v>805</v>
      </c>
      <c r="V166">
        <v>116</v>
      </c>
      <c r="W166" t="s">
        <v>964</v>
      </c>
      <c r="X166" t="s">
        <v>872</v>
      </c>
    </row>
    <row r="167" spans="1:24" x14ac:dyDescent="0.25">
      <c r="A167" s="4">
        <v>166</v>
      </c>
      <c r="B167" s="4" t="s">
        <v>759</v>
      </c>
      <c r="C167" s="31">
        <v>5.0199999999999996</v>
      </c>
      <c r="D167" s="4">
        <v>1957</v>
      </c>
      <c r="E167" s="5" t="s">
        <v>841</v>
      </c>
      <c r="F167" s="10" t="s">
        <v>855</v>
      </c>
      <c r="G167" s="10" t="s">
        <v>854</v>
      </c>
      <c r="H167" s="10" t="s">
        <v>825</v>
      </c>
      <c r="I167" s="10" t="s">
        <v>758</v>
      </c>
      <c r="J167" s="10" t="s">
        <v>236</v>
      </c>
      <c r="K167" t="s">
        <v>219</v>
      </c>
      <c r="L167" t="s">
        <v>715</v>
      </c>
      <c r="M167" s="4">
        <v>8.4</v>
      </c>
      <c r="N167" s="4">
        <v>96</v>
      </c>
      <c r="O167" s="4">
        <v>4.4000000000000004</v>
      </c>
      <c r="P167" s="22">
        <f t="shared" si="20"/>
        <v>8.9333333333333336</v>
      </c>
      <c r="Q167" s="22">
        <f t="shared" si="21"/>
        <v>7.9550000000000001</v>
      </c>
      <c r="R167" s="30">
        <f t="shared" si="22"/>
        <v>5</v>
      </c>
      <c r="S167" s="22">
        <f t="shared" si="23"/>
        <v>2.5</v>
      </c>
      <c r="T167" s="28">
        <v>46039</v>
      </c>
      <c r="U167" s="28" t="s">
        <v>805</v>
      </c>
      <c r="V167">
        <v>88</v>
      </c>
      <c r="W167" t="s">
        <v>964</v>
      </c>
      <c r="X167" t="s">
        <v>960</v>
      </c>
    </row>
    <row r="168" spans="1:24" x14ac:dyDescent="0.25">
      <c r="A168" s="4">
        <v>167</v>
      </c>
      <c r="B168" s="4" t="s">
        <v>636</v>
      </c>
      <c r="C168" s="31">
        <v>5.01</v>
      </c>
      <c r="D168" s="4">
        <v>1985</v>
      </c>
      <c r="E168" s="10" t="s">
        <v>638</v>
      </c>
      <c r="F168" s="10" t="s">
        <v>637</v>
      </c>
      <c r="G168" s="10" t="s">
        <v>639</v>
      </c>
      <c r="H168" s="10" t="s">
        <v>640</v>
      </c>
      <c r="I168" s="10" t="s">
        <v>641</v>
      </c>
      <c r="J168" s="10" t="s">
        <v>219</v>
      </c>
      <c r="K168" s="10" t="s">
        <v>229</v>
      </c>
      <c r="M168" s="4">
        <v>7.8</v>
      </c>
      <c r="N168" s="4">
        <v>89</v>
      </c>
      <c r="O168" s="4">
        <v>3.8</v>
      </c>
      <c r="P168" s="22">
        <f t="shared" si="20"/>
        <v>8.1</v>
      </c>
      <c r="Q168" s="22">
        <f t="shared" si="21"/>
        <v>7.3275000000000006</v>
      </c>
      <c r="R168" s="30">
        <f t="shared" si="22"/>
        <v>5</v>
      </c>
      <c r="S168" s="22">
        <f t="shared" si="23"/>
        <v>2.5</v>
      </c>
      <c r="T168" s="28">
        <v>45475</v>
      </c>
      <c r="U168" s="28" t="s">
        <v>805</v>
      </c>
      <c r="V168">
        <v>97</v>
      </c>
      <c r="W168" t="s">
        <v>964</v>
      </c>
      <c r="X168" t="s">
        <v>960</v>
      </c>
    </row>
    <row r="169" spans="1:24" x14ac:dyDescent="0.25">
      <c r="A169" s="4">
        <v>168</v>
      </c>
      <c r="B169" s="4" t="s">
        <v>775</v>
      </c>
      <c r="C169" s="31">
        <v>4.9000000000000004</v>
      </c>
      <c r="D169" s="4">
        <v>1987</v>
      </c>
      <c r="E169" s="10" t="s">
        <v>853</v>
      </c>
      <c r="F169" s="10" t="s">
        <v>852</v>
      </c>
      <c r="G169" s="10" t="s">
        <v>951</v>
      </c>
      <c r="H169" s="10" t="s">
        <v>851</v>
      </c>
      <c r="I169" s="10" t="s">
        <v>758</v>
      </c>
      <c r="J169" s="10" t="s">
        <v>236</v>
      </c>
      <c r="K169" s="10" t="s">
        <v>219</v>
      </c>
      <c r="M169" s="4">
        <v>8.1999999999999993</v>
      </c>
      <c r="N169" s="4">
        <v>90</v>
      </c>
      <c r="O169" s="4">
        <v>4.2</v>
      </c>
      <c r="P169" s="22">
        <f t="shared" si="20"/>
        <v>8.5333333333333332</v>
      </c>
      <c r="Q169" s="22">
        <f t="shared" si="21"/>
        <v>7.625</v>
      </c>
      <c r="R169" s="30">
        <f t="shared" si="22"/>
        <v>4</v>
      </c>
      <c r="S169" s="22">
        <f t="shared" si="23"/>
        <v>2</v>
      </c>
      <c r="T169" s="28">
        <v>46024</v>
      </c>
      <c r="U169" s="28" t="s">
        <v>805</v>
      </c>
      <c r="V169">
        <v>116</v>
      </c>
      <c r="W169" t="s">
        <v>964</v>
      </c>
      <c r="X169" t="s">
        <v>960</v>
      </c>
    </row>
    <row r="170" spans="1:24" x14ac:dyDescent="0.25">
      <c r="A170" s="4">
        <v>169</v>
      </c>
      <c r="B170" s="4" t="s">
        <v>910</v>
      </c>
      <c r="C170" s="31">
        <v>4.8</v>
      </c>
      <c r="D170" s="4">
        <v>2025</v>
      </c>
      <c r="E170" s="5" t="s">
        <v>49</v>
      </c>
      <c r="F170" s="10" t="s">
        <v>912</v>
      </c>
      <c r="G170" s="10" t="s">
        <v>913</v>
      </c>
      <c r="H170" s="10" t="s">
        <v>299</v>
      </c>
      <c r="I170" s="10" t="s">
        <v>870</v>
      </c>
      <c r="J170" s="10" t="s">
        <v>220</v>
      </c>
      <c r="K170" t="s">
        <v>229</v>
      </c>
      <c r="L170" s="10" t="s">
        <v>911</v>
      </c>
      <c r="M170" s="4">
        <v>6.4</v>
      </c>
      <c r="N170" s="4">
        <v>65</v>
      </c>
      <c r="O170" s="4">
        <v>2.7</v>
      </c>
      <c r="P170" s="22">
        <f t="shared" si="20"/>
        <v>6.1000000000000005</v>
      </c>
      <c r="Q170" s="22">
        <f t="shared" si="21"/>
        <v>5.7750000000000004</v>
      </c>
      <c r="R170" s="30">
        <f t="shared" si="22"/>
        <v>4</v>
      </c>
      <c r="S170" s="22">
        <f t="shared" si="23"/>
        <v>2</v>
      </c>
      <c r="T170" s="28">
        <v>45865</v>
      </c>
      <c r="U170" s="28" t="s">
        <v>805</v>
      </c>
      <c r="V170">
        <v>114</v>
      </c>
      <c r="W170" t="s">
        <v>976</v>
      </c>
      <c r="X170" t="s">
        <v>967</v>
      </c>
    </row>
    <row r="171" spans="1:24" x14ac:dyDescent="0.25">
      <c r="A171" s="4">
        <v>170</v>
      </c>
      <c r="B171" s="4" t="s">
        <v>479</v>
      </c>
      <c r="C171" s="31">
        <v>4.7</v>
      </c>
      <c r="D171" s="4">
        <v>1987</v>
      </c>
      <c r="E171" s="5" t="s">
        <v>72</v>
      </c>
      <c r="F171" s="10" t="s">
        <v>480</v>
      </c>
      <c r="G171" s="10" t="s">
        <v>32</v>
      </c>
      <c r="H171" s="10" t="s">
        <v>481</v>
      </c>
      <c r="I171" s="10" t="s">
        <v>47</v>
      </c>
      <c r="J171" s="10" t="s">
        <v>225</v>
      </c>
      <c r="K171" s="10" t="s">
        <v>227</v>
      </c>
      <c r="L171" s="10" t="s">
        <v>717</v>
      </c>
      <c r="M171" s="4">
        <v>7.8</v>
      </c>
      <c r="N171" s="4">
        <v>82</v>
      </c>
      <c r="O171" s="4">
        <v>3.8</v>
      </c>
      <c r="P171" s="22">
        <f t="shared" si="20"/>
        <v>7.8666666666666671</v>
      </c>
      <c r="Q171" s="22">
        <f t="shared" si="21"/>
        <v>7.0749999999999993</v>
      </c>
      <c r="R171" s="30">
        <f t="shared" si="22"/>
        <v>4</v>
      </c>
      <c r="S171" s="22">
        <f t="shared" si="23"/>
        <v>2</v>
      </c>
      <c r="T171" s="28">
        <v>45115</v>
      </c>
      <c r="U171" s="28" t="s">
        <v>805</v>
      </c>
      <c r="V171">
        <v>119</v>
      </c>
      <c r="W171" t="s">
        <v>964</v>
      </c>
      <c r="X171" t="s">
        <v>872</v>
      </c>
    </row>
    <row r="172" spans="1:24" x14ac:dyDescent="0.25">
      <c r="A172" s="4">
        <v>171</v>
      </c>
      <c r="B172" s="4" t="s">
        <v>790</v>
      </c>
      <c r="C172" s="31">
        <v>4.5999999999999996</v>
      </c>
      <c r="D172" s="4">
        <v>2023</v>
      </c>
      <c r="E172" s="5" t="s">
        <v>539</v>
      </c>
      <c r="F172" s="10" t="s">
        <v>540</v>
      </c>
      <c r="G172" s="10" t="s">
        <v>541</v>
      </c>
      <c r="H172" s="10" t="s">
        <v>543</v>
      </c>
      <c r="I172" s="10" t="s">
        <v>542</v>
      </c>
      <c r="J172" s="10" t="s">
        <v>218</v>
      </c>
      <c r="K172" s="10" t="s">
        <v>230</v>
      </c>
      <c r="L172" t="s">
        <v>232</v>
      </c>
      <c r="M172" s="4">
        <v>6.6</v>
      </c>
      <c r="N172" s="4">
        <v>58</v>
      </c>
      <c r="O172" s="4">
        <v>2.9</v>
      </c>
      <c r="P172" s="22">
        <f t="shared" si="20"/>
        <v>6.0666666666666664</v>
      </c>
      <c r="Q172" s="22">
        <f t="shared" si="21"/>
        <v>5.7</v>
      </c>
      <c r="R172" s="30">
        <f t="shared" si="22"/>
        <v>4</v>
      </c>
      <c r="S172" s="22">
        <f t="shared" si="23"/>
        <v>2</v>
      </c>
      <c r="T172" s="28">
        <v>45448</v>
      </c>
      <c r="U172" s="28" t="s">
        <v>805</v>
      </c>
      <c r="V172">
        <v>158</v>
      </c>
      <c r="W172" t="s">
        <v>969</v>
      </c>
      <c r="X172" t="s">
        <v>955</v>
      </c>
    </row>
    <row r="173" spans="1:24" x14ac:dyDescent="0.25">
      <c r="A173" s="4">
        <v>172</v>
      </c>
      <c r="B173" s="4" t="s">
        <v>784</v>
      </c>
      <c r="C173" s="31">
        <v>4.5</v>
      </c>
      <c r="D173" s="4">
        <v>2007</v>
      </c>
      <c r="E173" s="5" t="s">
        <v>49</v>
      </c>
      <c r="F173" s="10" t="s">
        <v>121</v>
      </c>
      <c r="G173" s="10" t="s">
        <v>122</v>
      </c>
      <c r="H173" s="10" t="s">
        <v>343</v>
      </c>
      <c r="I173" s="10" t="s">
        <v>50</v>
      </c>
      <c r="J173" s="10" t="s">
        <v>231</v>
      </c>
      <c r="K173" s="10" t="s">
        <v>229</v>
      </c>
      <c r="M173" s="4">
        <v>5.9</v>
      </c>
      <c r="N173" s="4">
        <v>14</v>
      </c>
      <c r="O173" s="4">
        <v>2.5</v>
      </c>
      <c r="P173" s="22">
        <f t="shared" si="20"/>
        <v>4.1000000000000005</v>
      </c>
      <c r="Q173" s="22">
        <f t="shared" si="21"/>
        <v>4.2</v>
      </c>
      <c r="R173" s="30">
        <f t="shared" si="22"/>
        <v>4</v>
      </c>
      <c r="S173" s="22">
        <f t="shared" si="23"/>
        <v>2</v>
      </c>
      <c r="T173" s="28">
        <v>44711</v>
      </c>
      <c r="U173" s="28" t="s">
        <v>805</v>
      </c>
      <c r="V173">
        <v>115</v>
      </c>
      <c r="W173" t="s">
        <v>964</v>
      </c>
      <c r="X173" t="s">
        <v>872</v>
      </c>
    </row>
    <row r="174" spans="1:24" x14ac:dyDescent="0.25">
      <c r="A174" s="4">
        <v>173</v>
      </c>
      <c r="B174" s="4" t="s">
        <v>105</v>
      </c>
      <c r="C174" s="31">
        <v>4.4000000000000004</v>
      </c>
      <c r="D174" s="4">
        <v>1976</v>
      </c>
      <c r="E174" s="10" t="s">
        <v>32</v>
      </c>
      <c r="F174" s="10" t="s">
        <v>356</v>
      </c>
      <c r="G174" s="10" t="s">
        <v>357</v>
      </c>
      <c r="H174" s="10" t="s">
        <v>358</v>
      </c>
      <c r="I174" s="10" t="s">
        <v>37</v>
      </c>
      <c r="J174" s="10" t="s">
        <v>225</v>
      </c>
      <c r="K174" s="10" t="s">
        <v>219</v>
      </c>
      <c r="M174" s="4">
        <v>8.1999999999999993</v>
      </c>
      <c r="N174" s="4">
        <v>96</v>
      </c>
      <c r="O174" s="4">
        <v>4.0999999999999996</v>
      </c>
      <c r="P174" s="22">
        <f t="shared" si="20"/>
        <v>8.6666666666666661</v>
      </c>
      <c r="Q174" s="22">
        <f t="shared" si="21"/>
        <v>7.6</v>
      </c>
      <c r="R174" s="30">
        <f t="shared" si="22"/>
        <v>4</v>
      </c>
      <c r="S174" s="22">
        <f t="shared" si="23"/>
        <v>2</v>
      </c>
      <c r="T174" s="28">
        <v>44752</v>
      </c>
      <c r="U174" s="28" t="s">
        <v>805</v>
      </c>
      <c r="V174">
        <v>114</v>
      </c>
      <c r="W174" t="s">
        <v>964</v>
      </c>
      <c r="X174" t="s">
        <v>872</v>
      </c>
    </row>
    <row r="175" spans="1:24" x14ac:dyDescent="0.25">
      <c r="A175" s="4">
        <v>174</v>
      </c>
      <c r="B175" s="4" t="s">
        <v>135</v>
      </c>
      <c r="C175" s="31">
        <v>4.3</v>
      </c>
      <c r="D175" s="4">
        <v>1993</v>
      </c>
      <c r="E175" s="5" t="s">
        <v>136</v>
      </c>
      <c r="F175" s="10" t="s">
        <v>10</v>
      </c>
      <c r="G175" s="10" t="s">
        <v>340</v>
      </c>
      <c r="H175" s="10" t="s">
        <v>341</v>
      </c>
      <c r="I175" s="10" t="s">
        <v>137</v>
      </c>
      <c r="J175" s="10" t="s">
        <v>427</v>
      </c>
      <c r="K175" s="10" t="s">
        <v>219</v>
      </c>
      <c r="L175" s="10" t="s">
        <v>230</v>
      </c>
      <c r="M175" s="4">
        <v>7.8</v>
      </c>
      <c r="N175" s="4">
        <v>65</v>
      </c>
      <c r="O175" s="4">
        <v>3.9</v>
      </c>
      <c r="P175" s="22">
        <f t="shared" si="20"/>
        <v>7.3666666666666671</v>
      </c>
      <c r="Q175" s="22">
        <f t="shared" si="21"/>
        <v>6.6000000000000005</v>
      </c>
      <c r="R175" s="30">
        <f t="shared" si="22"/>
        <v>4</v>
      </c>
      <c r="S175" s="22">
        <f t="shared" si="23"/>
        <v>2</v>
      </c>
      <c r="T175" s="28">
        <v>44741</v>
      </c>
      <c r="U175" s="28" t="s">
        <v>805</v>
      </c>
      <c r="V175">
        <v>130</v>
      </c>
      <c r="W175" t="s">
        <v>964</v>
      </c>
      <c r="X175" t="s">
        <v>872</v>
      </c>
    </row>
    <row r="176" spans="1:24" x14ac:dyDescent="0.25">
      <c r="A176" s="4">
        <v>175</v>
      </c>
      <c r="B176" s="4" t="s">
        <v>596</v>
      </c>
      <c r="C176" s="31">
        <v>4.2</v>
      </c>
      <c r="D176" s="4">
        <v>2021</v>
      </c>
      <c r="E176" s="5" t="s">
        <v>597</v>
      </c>
      <c r="F176" s="10" t="s">
        <v>396</v>
      </c>
      <c r="G176" s="10" t="s">
        <v>598</v>
      </c>
      <c r="H176" s="10" t="s">
        <v>599</v>
      </c>
      <c r="I176" s="10" t="s">
        <v>549</v>
      </c>
      <c r="J176" s="10" t="s">
        <v>233</v>
      </c>
      <c r="K176" s="10" t="s">
        <v>219</v>
      </c>
      <c r="L176" s="10" t="s">
        <v>232</v>
      </c>
      <c r="M176" s="4">
        <v>8</v>
      </c>
      <c r="N176" s="4">
        <v>83</v>
      </c>
      <c r="O176" s="4">
        <v>3.9</v>
      </c>
      <c r="P176" s="22">
        <f t="shared" si="20"/>
        <v>8.0333333333333332</v>
      </c>
      <c r="Q176" s="22">
        <f t="shared" si="21"/>
        <v>7.0750000000000002</v>
      </c>
      <c r="R176" s="30">
        <f t="shared" si="22"/>
        <v>4</v>
      </c>
      <c r="S176" s="22">
        <f t="shared" si="23"/>
        <v>2</v>
      </c>
      <c r="T176" s="28">
        <v>45364</v>
      </c>
      <c r="U176" s="28" t="s">
        <v>805</v>
      </c>
      <c r="V176">
        <v>155</v>
      </c>
      <c r="W176" t="s">
        <v>875</v>
      </c>
      <c r="X176" t="s">
        <v>973</v>
      </c>
    </row>
    <row r="177" spans="1:24" x14ac:dyDescent="0.25">
      <c r="A177" s="4">
        <v>176</v>
      </c>
      <c r="B177" s="4" t="s">
        <v>127</v>
      </c>
      <c r="C177" s="31">
        <v>4.0999999999999996</v>
      </c>
      <c r="D177" s="4">
        <v>2016</v>
      </c>
      <c r="E177" s="10" t="s">
        <v>128</v>
      </c>
      <c r="F177" s="10" t="s">
        <v>129</v>
      </c>
      <c r="G177" s="10" t="s">
        <v>347</v>
      </c>
      <c r="H177" s="10" t="s">
        <v>346</v>
      </c>
      <c r="I177" s="10" t="s">
        <v>128</v>
      </c>
      <c r="J177" s="10" t="s">
        <v>219</v>
      </c>
      <c r="M177" s="4">
        <v>7.2</v>
      </c>
      <c r="N177" s="4">
        <v>92</v>
      </c>
      <c r="O177" s="4">
        <v>3.6</v>
      </c>
      <c r="P177" s="22">
        <f t="shared" si="20"/>
        <v>7.8666666666666663</v>
      </c>
      <c r="Q177" s="22">
        <f t="shared" si="21"/>
        <v>6.9249999999999998</v>
      </c>
      <c r="R177" s="30">
        <f t="shared" si="22"/>
        <v>4</v>
      </c>
      <c r="S177" s="22">
        <f t="shared" si="23"/>
        <v>2</v>
      </c>
      <c r="T177" s="28">
        <v>44927</v>
      </c>
      <c r="U177" s="28" t="s">
        <v>805</v>
      </c>
      <c r="V177">
        <v>139</v>
      </c>
      <c r="W177" t="s">
        <v>876</v>
      </c>
      <c r="X177" t="s">
        <v>978</v>
      </c>
    </row>
    <row r="178" spans="1:24" x14ac:dyDescent="0.25">
      <c r="A178" s="4">
        <v>177</v>
      </c>
      <c r="B178" s="4" t="s">
        <v>102</v>
      </c>
      <c r="C178" s="31">
        <v>4</v>
      </c>
      <c r="D178" s="4">
        <v>1980</v>
      </c>
      <c r="E178" s="10" t="s">
        <v>32</v>
      </c>
      <c r="F178" s="10" t="s">
        <v>34</v>
      </c>
      <c r="G178" s="10" t="s">
        <v>36</v>
      </c>
      <c r="H178" s="10" t="s">
        <v>351</v>
      </c>
      <c r="I178" s="10" t="s">
        <v>37</v>
      </c>
      <c r="J178" s="10" t="s">
        <v>220</v>
      </c>
      <c r="K178" s="10" t="s">
        <v>230</v>
      </c>
      <c r="L178" s="10" t="s">
        <v>219</v>
      </c>
      <c r="M178" s="4">
        <v>8.1</v>
      </c>
      <c r="N178" s="4">
        <v>93</v>
      </c>
      <c r="O178" s="4">
        <v>4.2</v>
      </c>
      <c r="P178" s="22">
        <f t="shared" si="20"/>
        <v>8.6</v>
      </c>
      <c r="Q178" s="22">
        <f t="shared" si="21"/>
        <v>7.4499999999999993</v>
      </c>
      <c r="R178" s="30">
        <f t="shared" si="22"/>
        <v>4</v>
      </c>
      <c r="S178" s="22">
        <f t="shared" si="23"/>
        <v>2</v>
      </c>
      <c r="T178" s="28">
        <v>44753</v>
      </c>
      <c r="U178" s="28" t="s">
        <v>805</v>
      </c>
      <c r="V178">
        <v>129</v>
      </c>
      <c r="W178" t="s">
        <v>964</v>
      </c>
      <c r="X178" t="s">
        <v>872</v>
      </c>
    </row>
    <row r="179" spans="1:24" x14ac:dyDescent="0.25">
      <c r="A179" s="4">
        <v>178</v>
      </c>
      <c r="B179" s="4" t="s">
        <v>468</v>
      </c>
      <c r="C179" s="31">
        <v>3.8</v>
      </c>
      <c r="D179" s="4">
        <v>1951</v>
      </c>
      <c r="E179" s="10" t="s">
        <v>526</v>
      </c>
      <c r="F179" s="10" t="s">
        <v>465</v>
      </c>
      <c r="G179" s="10" t="s">
        <v>466</v>
      </c>
      <c r="H179" s="10" t="s">
        <v>469</v>
      </c>
      <c r="I179" s="10" t="s">
        <v>467</v>
      </c>
      <c r="J179" s="10" t="s">
        <v>219</v>
      </c>
      <c r="K179" s="10" t="s">
        <v>719</v>
      </c>
      <c r="M179" s="4">
        <v>7.9</v>
      </c>
      <c r="N179" s="4">
        <v>98</v>
      </c>
      <c r="O179" s="4">
        <v>4</v>
      </c>
      <c r="P179" s="22">
        <f t="shared" si="20"/>
        <v>8.5666666666666682</v>
      </c>
      <c r="Q179" s="22">
        <f t="shared" si="21"/>
        <v>7.375</v>
      </c>
      <c r="R179" s="30">
        <f t="shared" si="22"/>
        <v>3</v>
      </c>
      <c r="S179" s="22">
        <f t="shared" si="23"/>
        <v>1.5</v>
      </c>
      <c r="T179" s="28">
        <v>44958</v>
      </c>
      <c r="U179" s="28" t="s">
        <v>805</v>
      </c>
      <c r="V179">
        <v>122</v>
      </c>
      <c r="W179" t="s">
        <v>876</v>
      </c>
      <c r="X179" t="s">
        <v>978</v>
      </c>
    </row>
    <row r="180" spans="1:24" x14ac:dyDescent="0.25">
      <c r="A180" s="4">
        <v>179</v>
      </c>
      <c r="B180" s="4" t="s">
        <v>123</v>
      </c>
      <c r="C180" s="31">
        <v>3.7</v>
      </c>
      <c r="D180" s="4">
        <v>2014</v>
      </c>
      <c r="E180" s="10" t="s">
        <v>124</v>
      </c>
      <c r="F180" s="10" t="s">
        <v>125</v>
      </c>
      <c r="G180" s="10" t="s">
        <v>344</v>
      </c>
      <c r="H180" s="10" t="s">
        <v>345</v>
      </c>
      <c r="I180" s="10" t="s">
        <v>126</v>
      </c>
      <c r="J180" s="10" t="s">
        <v>219</v>
      </c>
      <c r="K180" s="10" t="s">
        <v>229</v>
      </c>
      <c r="M180" s="4">
        <v>7.2</v>
      </c>
      <c r="N180" s="4">
        <v>77</v>
      </c>
      <c r="O180" s="4">
        <v>3.4</v>
      </c>
      <c r="P180" s="22">
        <f t="shared" si="20"/>
        <v>7.2333333333333334</v>
      </c>
      <c r="Q180" s="22">
        <f t="shared" si="21"/>
        <v>6.3500000000000005</v>
      </c>
      <c r="R180" s="30">
        <f t="shared" si="22"/>
        <v>3</v>
      </c>
      <c r="S180" s="22">
        <f t="shared" si="23"/>
        <v>1.5</v>
      </c>
      <c r="T180" s="28">
        <v>45017</v>
      </c>
      <c r="U180" s="28" t="s">
        <v>805</v>
      </c>
      <c r="V180">
        <v>102</v>
      </c>
      <c r="W180" t="s">
        <v>876</v>
      </c>
      <c r="X180" t="s">
        <v>978</v>
      </c>
    </row>
    <row r="181" spans="1:24" x14ac:dyDescent="0.25">
      <c r="A181" s="4">
        <v>180</v>
      </c>
      <c r="B181" s="4" t="s">
        <v>103</v>
      </c>
      <c r="C181" s="31">
        <v>3.5</v>
      </c>
      <c r="D181" s="4">
        <v>2009</v>
      </c>
      <c r="E181" s="10" t="s">
        <v>332</v>
      </c>
      <c r="F181" s="10" t="s">
        <v>333</v>
      </c>
      <c r="G181" s="10" t="s">
        <v>222</v>
      </c>
      <c r="H181" s="10" t="s">
        <v>334</v>
      </c>
      <c r="I181" s="10" t="s">
        <v>104</v>
      </c>
      <c r="J181" s="10" t="s">
        <v>233</v>
      </c>
      <c r="K181" t="s">
        <v>226</v>
      </c>
      <c r="L181" s="10" t="s">
        <v>219</v>
      </c>
      <c r="M181" s="4">
        <v>7.6</v>
      </c>
      <c r="N181" s="4">
        <v>65</v>
      </c>
      <c r="O181" s="4">
        <v>3.7</v>
      </c>
      <c r="P181" s="22">
        <f t="shared" si="20"/>
        <v>7.166666666666667</v>
      </c>
      <c r="Q181" s="22">
        <f t="shared" si="21"/>
        <v>6.25</v>
      </c>
      <c r="R181" s="30">
        <f t="shared" si="22"/>
        <v>3</v>
      </c>
      <c r="S181" s="22">
        <f t="shared" si="23"/>
        <v>1.5</v>
      </c>
      <c r="T181" s="28">
        <v>45047</v>
      </c>
      <c r="U181" s="28" t="s">
        <v>805</v>
      </c>
      <c r="V181">
        <v>162</v>
      </c>
      <c r="W181" t="s">
        <v>876</v>
      </c>
      <c r="X181" t="s">
        <v>978</v>
      </c>
    </row>
    <row r="182" spans="1:24" x14ac:dyDescent="0.25">
      <c r="A182" s="4">
        <v>181</v>
      </c>
      <c r="B182" s="4" t="s">
        <v>205</v>
      </c>
      <c r="C182" s="31">
        <v>3.1</v>
      </c>
      <c r="D182" s="4">
        <v>2010</v>
      </c>
      <c r="E182" s="5" t="s">
        <v>14</v>
      </c>
      <c r="F182" s="10" t="s">
        <v>329</v>
      </c>
      <c r="G182" s="10" t="s">
        <v>330</v>
      </c>
      <c r="H182" s="10" t="s">
        <v>331</v>
      </c>
      <c r="I182" s="10" t="s">
        <v>37</v>
      </c>
      <c r="J182" s="10" t="s">
        <v>627</v>
      </c>
      <c r="K182" t="s">
        <v>226</v>
      </c>
      <c r="L182" t="s">
        <v>227</v>
      </c>
      <c r="M182" s="4">
        <v>8.1999999999999993</v>
      </c>
      <c r="N182" s="4">
        <v>68</v>
      </c>
      <c r="O182" s="4">
        <v>4.2</v>
      </c>
      <c r="P182" s="22">
        <f t="shared" si="20"/>
        <v>7.8</v>
      </c>
      <c r="Q182" s="22">
        <f t="shared" si="21"/>
        <v>6.625</v>
      </c>
      <c r="R182" s="30">
        <f t="shared" si="22"/>
        <v>3</v>
      </c>
      <c r="S182" s="22">
        <f t="shared" si="23"/>
        <v>1.5</v>
      </c>
      <c r="T182" s="28">
        <v>45106</v>
      </c>
      <c r="U182" s="28" t="s">
        <v>805</v>
      </c>
      <c r="V182">
        <v>138</v>
      </c>
      <c r="W182" t="s">
        <v>964</v>
      </c>
      <c r="X182" t="s">
        <v>872</v>
      </c>
    </row>
    <row r="183" spans="1:24" x14ac:dyDescent="0.25">
      <c r="A183" s="4">
        <v>182</v>
      </c>
      <c r="B183" s="4" t="s">
        <v>783</v>
      </c>
      <c r="C183" s="31">
        <v>2.7</v>
      </c>
      <c r="D183" s="4">
        <v>2015</v>
      </c>
      <c r="E183" s="5" t="s">
        <v>11</v>
      </c>
      <c r="F183" s="10" t="s">
        <v>26</v>
      </c>
      <c r="G183" s="10" t="s">
        <v>454</v>
      </c>
      <c r="H183" s="10" t="s">
        <v>455</v>
      </c>
      <c r="I183" s="10" t="s">
        <v>456</v>
      </c>
      <c r="J183" s="10" t="s">
        <v>229</v>
      </c>
      <c r="K183" s="10" t="s">
        <v>235</v>
      </c>
      <c r="M183" s="4">
        <v>6.2</v>
      </c>
      <c r="N183" s="4">
        <v>30</v>
      </c>
      <c r="O183" s="4">
        <v>2.8</v>
      </c>
      <c r="P183" s="22">
        <f t="shared" si="20"/>
        <v>4.9333333333333327</v>
      </c>
      <c r="Q183" s="22">
        <f t="shared" si="21"/>
        <v>4.375</v>
      </c>
      <c r="R183" s="30">
        <f t="shared" si="22"/>
        <v>2</v>
      </c>
      <c r="S183" s="22">
        <f t="shared" si="23"/>
        <v>1</v>
      </c>
      <c r="T183" s="28">
        <v>45106</v>
      </c>
      <c r="U183" s="28" t="s">
        <v>805</v>
      </c>
      <c r="V183">
        <v>96</v>
      </c>
      <c r="W183" t="s">
        <v>964</v>
      </c>
      <c r="X183" t="s">
        <v>872</v>
      </c>
    </row>
    <row r="184" spans="1:24" x14ac:dyDescent="0.25">
      <c r="A184" s="4">
        <v>183</v>
      </c>
      <c r="B184" s="4" t="s">
        <v>208</v>
      </c>
      <c r="C184" s="31">
        <v>2.2999999999999998</v>
      </c>
      <c r="D184" s="4">
        <v>1998</v>
      </c>
      <c r="E184" s="10" t="s">
        <v>49</v>
      </c>
      <c r="F184" s="10" t="s">
        <v>348</v>
      </c>
      <c r="G184" s="10" t="s">
        <v>349</v>
      </c>
      <c r="H184" s="10" t="s">
        <v>350</v>
      </c>
      <c r="I184" s="10" t="s">
        <v>209</v>
      </c>
      <c r="J184" t="s">
        <v>220</v>
      </c>
      <c r="K184" t="s">
        <v>229</v>
      </c>
      <c r="M184" s="4">
        <v>6.1</v>
      </c>
      <c r="N184" s="4">
        <v>34</v>
      </c>
      <c r="O184" s="4">
        <v>2.9</v>
      </c>
      <c r="P184" s="22">
        <f t="shared" si="20"/>
        <v>5.1000000000000005</v>
      </c>
      <c r="Q184" s="22">
        <f t="shared" si="21"/>
        <v>4.3999999999999995</v>
      </c>
      <c r="R184" s="30">
        <f t="shared" si="22"/>
        <v>2</v>
      </c>
      <c r="S184" s="22">
        <f t="shared" si="23"/>
        <v>1</v>
      </c>
      <c r="T184" s="28">
        <v>43880</v>
      </c>
      <c r="U184" s="28" t="s">
        <v>805</v>
      </c>
      <c r="V184">
        <v>90</v>
      </c>
      <c r="W184" t="s">
        <v>964</v>
      </c>
      <c r="X184" t="s">
        <v>872</v>
      </c>
    </row>
    <row r="185" spans="1:24" x14ac:dyDescent="0.25">
      <c r="A185" s="4">
        <v>184</v>
      </c>
      <c r="B185" s="4" t="s">
        <v>138</v>
      </c>
      <c r="C185" s="31">
        <v>1.8</v>
      </c>
      <c r="D185" s="4">
        <v>2011</v>
      </c>
      <c r="E185" s="5" t="s">
        <v>49</v>
      </c>
      <c r="F185" s="10" t="s">
        <v>139</v>
      </c>
      <c r="G185" s="10" t="s">
        <v>140</v>
      </c>
      <c r="H185" s="10" t="s">
        <v>359</v>
      </c>
      <c r="I185" s="10" t="s">
        <v>50</v>
      </c>
      <c r="J185" s="10" t="s">
        <v>231</v>
      </c>
      <c r="K185" s="10" t="s">
        <v>229</v>
      </c>
      <c r="M185" s="4">
        <v>6.4</v>
      </c>
      <c r="N185" s="4">
        <v>19</v>
      </c>
      <c r="O185" s="4">
        <v>3.2</v>
      </c>
      <c r="P185" s="22">
        <f t="shared" si="20"/>
        <v>4.9000000000000004</v>
      </c>
      <c r="Q185" s="22">
        <f t="shared" si="21"/>
        <v>4.125</v>
      </c>
      <c r="R185" s="30">
        <f t="shared" si="22"/>
        <v>2</v>
      </c>
      <c r="S185" s="22">
        <f t="shared" si="23"/>
        <v>1</v>
      </c>
      <c r="T185" s="28">
        <v>44709</v>
      </c>
      <c r="U185" s="28" t="s">
        <v>805</v>
      </c>
      <c r="V185">
        <v>117</v>
      </c>
      <c r="W185" t="s">
        <v>964</v>
      </c>
      <c r="X185" t="s">
        <v>872</v>
      </c>
    </row>
    <row r="186" spans="1:24" x14ac:dyDescent="0.25">
      <c r="A186" s="4">
        <v>185</v>
      </c>
      <c r="B186" s="4" t="s">
        <v>648</v>
      </c>
      <c r="C186" s="31">
        <v>1.5</v>
      </c>
      <c r="D186" s="4">
        <v>1977</v>
      </c>
      <c r="E186" s="10" t="s">
        <v>486</v>
      </c>
      <c r="F186" s="10" t="s">
        <v>649</v>
      </c>
      <c r="G186" s="10" t="s">
        <v>650</v>
      </c>
      <c r="H186" s="10" t="s">
        <v>651</v>
      </c>
      <c r="I186" s="10" t="s">
        <v>652</v>
      </c>
      <c r="J186" s="10" t="s">
        <v>220</v>
      </c>
      <c r="K186" s="10" t="s">
        <v>219</v>
      </c>
      <c r="L186" t="s">
        <v>229</v>
      </c>
      <c r="M186" s="4">
        <v>7.2</v>
      </c>
      <c r="N186" s="4">
        <v>85</v>
      </c>
      <c r="O186" s="4">
        <v>3.6</v>
      </c>
      <c r="P186" s="22">
        <f t="shared" si="20"/>
        <v>7.6333333333333329</v>
      </c>
      <c r="Q186" s="22">
        <f t="shared" si="21"/>
        <v>6.1</v>
      </c>
      <c r="R186" s="30">
        <f t="shared" si="22"/>
        <v>2</v>
      </c>
      <c r="S186" s="22">
        <f t="shared" si="23"/>
        <v>1</v>
      </c>
      <c r="T186" s="28">
        <v>45483</v>
      </c>
      <c r="U186" s="28" t="s">
        <v>805</v>
      </c>
      <c r="V186">
        <v>123</v>
      </c>
      <c r="W186" t="s">
        <v>964</v>
      </c>
      <c r="X186" t="s">
        <v>872</v>
      </c>
    </row>
    <row r="187" spans="1:24" x14ac:dyDescent="0.25">
      <c r="A187" s="4">
        <v>186</v>
      </c>
      <c r="B187" s="4" t="s">
        <v>144</v>
      </c>
      <c r="C187" s="31">
        <v>1.3</v>
      </c>
      <c r="D187" s="4">
        <v>2008</v>
      </c>
      <c r="E187" s="10" t="s">
        <v>11</v>
      </c>
      <c r="F187" s="10" t="s">
        <v>353</v>
      </c>
      <c r="G187" s="10" t="s">
        <v>354</v>
      </c>
      <c r="H187" s="10" t="s">
        <v>355</v>
      </c>
      <c r="I187" s="10" t="s">
        <v>145</v>
      </c>
      <c r="J187" s="10" t="s">
        <v>229</v>
      </c>
      <c r="K187" t="s">
        <v>220</v>
      </c>
      <c r="M187" s="4">
        <v>5.8</v>
      </c>
      <c r="N187" s="4">
        <v>22</v>
      </c>
      <c r="O187" s="4">
        <v>2.9</v>
      </c>
      <c r="P187" s="22">
        <f t="shared" si="20"/>
        <v>4.6000000000000005</v>
      </c>
      <c r="Q187" s="22">
        <f t="shared" si="21"/>
        <v>3.7750000000000004</v>
      </c>
      <c r="R187" s="30">
        <f t="shared" si="22"/>
        <v>1</v>
      </c>
      <c r="S187" s="22">
        <f t="shared" si="23"/>
        <v>0.5</v>
      </c>
      <c r="T187" s="28">
        <v>43902</v>
      </c>
      <c r="U187" s="28" t="s">
        <v>805</v>
      </c>
      <c r="V187">
        <v>91</v>
      </c>
      <c r="W187" t="s">
        <v>964</v>
      </c>
      <c r="X187" t="s">
        <v>872</v>
      </c>
    </row>
    <row r="188" spans="1:24" x14ac:dyDescent="0.25">
      <c r="A188" s="4">
        <v>187</v>
      </c>
      <c r="B188" s="4" t="s">
        <v>143</v>
      </c>
      <c r="C188" s="31">
        <v>1.1000000000000001</v>
      </c>
      <c r="D188" s="4">
        <v>2010</v>
      </c>
      <c r="E188" s="10" t="s">
        <v>11</v>
      </c>
      <c r="F188" s="10" t="s">
        <v>360</v>
      </c>
      <c r="G188" s="10" t="s">
        <v>361</v>
      </c>
      <c r="H188" s="10" t="s">
        <v>362</v>
      </c>
      <c r="I188" s="10" t="s">
        <v>142</v>
      </c>
      <c r="J188" s="10" t="s">
        <v>219</v>
      </c>
      <c r="K188" s="10" t="s">
        <v>229</v>
      </c>
      <c r="L188" s="10"/>
      <c r="M188" s="4">
        <v>6.4</v>
      </c>
      <c r="N188" s="4">
        <v>73</v>
      </c>
      <c r="O188" s="4">
        <v>3</v>
      </c>
      <c r="P188" s="22">
        <f t="shared" si="20"/>
        <v>6.5666666666666664</v>
      </c>
      <c r="Q188" s="22">
        <f t="shared" si="21"/>
        <v>5.2</v>
      </c>
      <c r="R188" s="30">
        <f t="shared" si="22"/>
        <v>1</v>
      </c>
      <c r="S188" s="22">
        <f t="shared" si="23"/>
        <v>0.5</v>
      </c>
      <c r="T188" s="28">
        <v>44706</v>
      </c>
      <c r="U188" s="28" t="s">
        <v>805</v>
      </c>
      <c r="V188">
        <v>97</v>
      </c>
      <c r="W188" t="s">
        <v>964</v>
      </c>
      <c r="X188" t="s">
        <v>872</v>
      </c>
    </row>
    <row r="189" spans="1:24" x14ac:dyDescent="0.25">
      <c r="A189" s="4">
        <v>188</v>
      </c>
      <c r="B189" s="4" t="s">
        <v>146</v>
      </c>
      <c r="C189" s="31">
        <v>0.9</v>
      </c>
      <c r="D189" s="4">
        <v>2006</v>
      </c>
      <c r="E189" s="10" t="s">
        <v>147</v>
      </c>
      <c r="F189" s="10" t="s">
        <v>52</v>
      </c>
      <c r="G189" s="10" t="s">
        <v>363</v>
      </c>
      <c r="H189" s="10" t="s">
        <v>364</v>
      </c>
      <c r="I189" s="10" t="s">
        <v>148</v>
      </c>
      <c r="J189" t="s">
        <v>220</v>
      </c>
      <c r="K189" t="s">
        <v>229</v>
      </c>
      <c r="L189" t="s">
        <v>231</v>
      </c>
      <c r="M189" s="4">
        <v>6.3</v>
      </c>
      <c r="N189" s="4">
        <v>43</v>
      </c>
      <c r="O189" s="4">
        <v>3.5</v>
      </c>
      <c r="P189" s="22">
        <f t="shared" si="20"/>
        <v>5.8666666666666671</v>
      </c>
      <c r="Q189" s="22">
        <f t="shared" si="21"/>
        <v>4.625</v>
      </c>
      <c r="R189" s="30">
        <f t="shared" si="22"/>
        <v>1</v>
      </c>
      <c r="S189" s="22">
        <f t="shared" si="23"/>
        <v>0.5</v>
      </c>
      <c r="T189" s="28">
        <v>44986</v>
      </c>
      <c r="U189" s="28" t="s">
        <v>805</v>
      </c>
      <c r="V189">
        <v>105</v>
      </c>
      <c r="W189" t="s">
        <v>876</v>
      </c>
      <c r="X189" t="s">
        <v>978</v>
      </c>
    </row>
  </sheetData>
  <autoFilter ref="B1:X189" xr:uid="{8A9579FD-2A02-4EF9-875F-B089FD4F4BF3}">
    <sortState xmlns:xlrd2="http://schemas.microsoft.com/office/spreadsheetml/2017/richdata2" ref="B2:X189">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500"/>
  <sheetViews>
    <sheetView topLeftCell="A108" workbookViewId="0">
      <selection activeCell="A2" sqref="A2:G500"/>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803</v>
      </c>
      <c r="G1" s="16" t="s">
        <v>887</v>
      </c>
      <c r="I1" s="15" t="s">
        <v>152</v>
      </c>
      <c r="J1" s="13">
        <f>COUNT('Movie Rankings'!A:A)</f>
        <v>188</v>
      </c>
      <c r="K1" s="17"/>
      <c r="L1" s="17"/>
      <c r="O1" s="17"/>
      <c r="P1" s="17"/>
      <c r="Q1" s="17"/>
      <c r="R1" s="17"/>
      <c r="T1" s="5"/>
    </row>
    <row r="2" spans="1:25" x14ac:dyDescent="0.25">
      <c r="A2">
        <v>1</v>
      </c>
      <c r="B2" t="s">
        <v>57</v>
      </c>
      <c r="C2" s="18">
        <v>100.268</v>
      </c>
      <c r="D2" s="13">
        <v>12</v>
      </c>
      <c r="E2" s="18">
        <v>9.6</v>
      </c>
      <c r="F2" s="18">
        <v>7.8</v>
      </c>
      <c r="G2" s="18">
        <v>94.018000000000001</v>
      </c>
      <c r="N2" s="17"/>
      <c r="T2" s="5"/>
      <c r="Y2" s="12"/>
    </row>
    <row r="3" spans="1:25" x14ac:dyDescent="0.25">
      <c r="A3">
        <v>2</v>
      </c>
      <c r="B3" t="s">
        <v>21</v>
      </c>
      <c r="C3" s="18">
        <v>134.22</v>
      </c>
      <c r="D3" s="13">
        <v>16</v>
      </c>
      <c r="E3" s="18">
        <v>9.3000000000000007</v>
      </c>
      <c r="F3" s="18">
        <v>7.8</v>
      </c>
      <c r="G3" s="18">
        <v>124.97000000000001</v>
      </c>
      <c r="L3" s="27"/>
      <c r="T3" s="10"/>
      <c r="Y3" s="12"/>
    </row>
    <row r="4" spans="1:25" x14ac:dyDescent="0.25">
      <c r="A4">
        <v>3</v>
      </c>
      <c r="B4" s="10" t="s">
        <v>9</v>
      </c>
      <c r="C4" s="18">
        <v>156.94</v>
      </c>
      <c r="D4" s="13">
        <v>19</v>
      </c>
      <c r="E4" s="18">
        <v>9</v>
      </c>
      <c r="F4" s="18">
        <v>7.5</v>
      </c>
      <c r="G4" s="18">
        <v>142.69</v>
      </c>
      <c r="L4" s="27"/>
      <c r="T4" s="5"/>
      <c r="Y4" s="14"/>
    </row>
    <row r="5" spans="1:25" x14ac:dyDescent="0.25">
      <c r="A5">
        <v>4</v>
      </c>
      <c r="B5" t="s">
        <v>14</v>
      </c>
      <c r="C5" s="18">
        <v>63.103000000000002</v>
      </c>
      <c r="D5" s="13">
        <v>8</v>
      </c>
      <c r="E5" s="18">
        <v>8.8000000000000007</v>
      </c>
      <c r="F5" s="18">
        <v>7.2</v>
      </c>
      <c r="G5" s="18">
        <v>57.728000000000002</v>
      </c>
      <c r="T5" s="10"/>
      <c r="Y5" s="12"/>
    </row>
    <row r="6" spans="1:25" x14ac:dyDescent="0.25">
      <c r="A6">
        <v>5</v>
      </c>
      <c r="B6" t="s">
        <v>44</v>
      </c>
      <c r="C6" s="18">
        <v>72.08</v>
      </c>
      <c r="D6" s="4">
        <v>9</v>
      </c>
      <c r="E6" s="18">
        <v>8.8000000000000007</v>
      </c>
      <c r="F6" s="18">
        <v>7.5</v>
      </c>
      <c r="G6" s="18">
        <v>67.83</v>
      </c>
      <c r="T6" s="10"/>
      <c r="Y6" s="14"/>
    </row>
    <row r="7" spans="1:25" x14ac:dyDescent="0.25">
      <c r="A7">
        <v>6</v>
      </c>
      <c r="B7" s="10" t="s">
        <v>96</v>
      </c>
      <c r="C7" s="18">
        <v>62.429000000000002</v>
      </c>
      <c r="D7" s="13">
        <v>8</v>
      </c>
      <c r="E7" s="18">
        <v>8.6999999999999993</v>
      </c>
      <c r="F7" s="18">
        <v>7.3</v>
      </c>
      <c r="G7" s="18">
        <v>58.679000000000002</v>
      </c>
      <c r="T7" s="5"/>
    </row>
    <row r="8" spans="1:25" x14ac:dyDescent="0.25">
      <c r="A8">
        <v>7</v>
      </c>
      <c r="B8" t="s">
        <v>56</v>
      </c>
      <c r="C8" s="18">
        <v>19.64</v>
      </c>
      <c r="D8" s="13">
        <v>2</v>
      </c>
      <c r="E8" s="18">
        <v>8.6</v>
      </c>
      <c r="F8" s="18">
        <v>9.3000000000000007</v>
      </c>
      <c r="G8" s="18">
        <v>18.64</v>
      </c>
      <c r="T8" s="10"/>
    </row>
    <row r="9" spans="1:25" x14ac:dyDescent="0.25">
      <c r="A9">
        <v>8</v>
      </c>
      <c r="B9" t="s">
        <v>26</v>
      </c>
      <c r="C9" s="18">
        <v>59.814999999999998</v>
      </c>
      <c r="D9" s="13">
        <v>8</v>
      </c>
      <c r="E9" s="18">
        <v>8.4</v>
      </c>
      <c r="F9" s="18">
        <v>7</v>
      </c>
      <c r="G9" s="18">
        <v>55.94</v>
      </c>
      <c r="R9" s="10"/>
      <c r="T9" s="10"/>
    </row>
    <row r="10" spans="1:25" x14ac:dyDescent="0.25">
      <c r="A10">
        <v>9</v>
      </c>
      <c r="B10" t="s">
        <v>273</v>
      </c>
      <c r="C10" s="18">
        <v>27.39</v>
      </c>
      <c r="D10" s="13">
        <v>3</v>
      </c>
      <c r="E10" s="18">
        <v>8.3000000000000007</v>
      </c>
      <c r="F10" s="18">
        <v>8.6</v>
      </c>
      <c r="G10" s="18">
        <v>25.89</v>
      </c>
      <c r="R10" s="5"/>
      <c r="T10" s="10"/>
    </row>
    <row r="11" spans="1:25" x14ac:dyDescent="0.25">
      <c r="A11">
        <v>10</v>
      </c>
      <c r="B11" t="s">
        <v>518</v>
      </c>
      <c r="C11" s="18">
        <v>27.169999999999998</v>
      </c>
      <c r="D11" s="13">
        <v>3</v>
      </c>
      <c r="E11" s="18">
        <v>8.1999999999999993</v>
      </c>
      <c r="F11" s="18">
        <v>8.9</v>
      </c>
      <c r="G11" s="18">
        <v>26.669999999999998</v>
      </c>
      <c r="R11" s="10"/>
      <c r="T11" s="10"/>
    </row>
    <row r="12" spans="1:25" x14ac:dyDescent="0.25">
      <c r="A12">
        <v>11</v>
      </c>
      <c r="B12" s="10" t="s">
        <v>15</v>
      </c>
      <c r="C12" s="18">
        <v>42.790000000000006</v>
      </c>
      <c r="D12" s="13">
        <v>5</v>
      </c>
      <c r="E12" s="18">
        <v>8.1</v>
      </c>
      <c r="F12" s="18">
        <v>8.3000000000000007</v>
      </c>
      <c r="G12" s="18">
        <v>41.290000000000006</v>
      </c>
      <c r="R12" s="10"/>
      <c r="T12" s="5"/>
    </row>
    <row r="13" spans="1:25" x14ac:dyDescent="0.25">
      <c r="A13">
        <v>12</v>
      </c>
      <c r="B13" s="5" t="s">
        <v>25</v>
      </c>
      <c r="C13" s="18">
        <v>18.72</v>
      </c>
      <c r="D13" s="4">
        <v>2</v>
      </c>
      <c r="E13" s="18">
        <v>8.1</v>
      </c>
      <c r="F13" s="18">
        <v>9.1999999999999993</v>
      </c>
      <c r="G13" s="18">
        <v>18.47</v>
      </c>
      <c r="R13" s="10"/>
      <c r="T13" s="10"/>
    </row>
    <row r="14" spans="1:25" x14ac:dyDescent="0.25">
      <c r="A14">
        <v>13</v>
      </c>
      <c r="B14" t="s">
        <v>71</v>
      </c>
      <c r="C14" s="18">
        <v>26.774999999999999</v>
      </c>
      <c r="D14" s="13">
        <v>3</v>
      </c>
      <c r="E14" s="18">
        <v>8.1</v>
      </c>
      <c r="F14" s="18">
        <v>8.4</v>
      </c>
      <c r="G14" s="18">
        <v>25.15</v>
      </c>
      <c r="R14" s="5"/>
      <c r="T14" s="5"/>
    </row>
    <row r="15" spans="1:25" x14ac:dyDescent="0.25">
      <c r="A15">
        <v>14</v>
      </c>
      <c r="B15" t="s">
        <v>32</v>
      </c>
      <c r="C15" s="18">
        <v>65.085000000000008</v>
      </c>
      <c r="D15" s="13">
        <v>9</v>
      </c>
      <c r="E15" s="18">
        <v>8.1</v>
      </c>
      <c r="F15" s="18">
        <v>6.6</v>
      </c>
      <c r="G15" s="18">
        <v>59.71</v>
      </c>
      <c r="R15" s="10"/>
      <c r="T15" s="5"/>
    </row>
    <row r="16" spans="1:25" x14ac:dyDescent="0.25">
      <c r="A16">
        <v>15</v>
      </c>
      <c r="B16" s="10" t="s">
        <v>556</v>
      </c>
      <c r="C16" s="18">
        <v>18.729999999999997</v>
      </c>
      <c r="D16" s="13">
        <v>2</v>
      </c>
      <c r="E16" s="18">
        <v>8.1</v>
      </c>
      <c r="F16" s="18">
        <v>8.6</v>
      </c>
      <c r="G16" s="18">
        <v>17.229999999999997</v>
      </c>
      <c r="R16" s="5"/>
      <c r="T16" s="5"/>
    </row>
    <row r="17" spans="1:20" x14ac:dyDescent="0.25">
      <c r="A17">
        <v>16</v>
      </c>
      <c r="B17" t="s">
        <v>241</v>
      </c>
      <c r="C17" s="18">
        <v>10.47</v>
      </c>
      <c r="D17" s="13">
        <v>1</v>
      </c>
      <c r="E17" s="18">
        <v>8</v>
      </c>
      <c r="F17" s="18">
        <v>9.6999999999999993</v>
      </c>
      <c r="G17" s="18">
        <v>9.7200000000000006</v>
      </c>
      <c r="R17" s="10"/>
      <c r="T17" s="10"/>
    </row>
    <row r="18" spans="1:20" x14ac:dyDescent="0.25">
      <c r="A18">
        <v>17</v>
      </c>
      <c r="B18" s="10" t="s">
        <v>22</v>
      </c>
      <c r="C18" s="18">
        <v>26.085000000000001</v>
      </c>
      <c r="D18" s="13">
        <v>3</v>
      </c>
      <c r="E18" s="18">
        <v>7.9</v>
      </c>
      <c r="F18" s="18">
        <v>8.5</v>
      </c>
      <c r="G18" s="18">
        <v>25.46</v>
      </c>
      <c r="R18" s="10"/>
      <c r="T18" s="10"/>
    </row>
    <row r="19" spans="1:20" x14ac:dyDescent="0.25">
      <c r="A19">
        <v>18</v>
      </c>
      <c r="B19" t="s">
        <v>29</v>
      </c>
      <c r="C19" s="18">
        <v>26.2</v>
      </c>
      <c r="D19" s="13">
        <v>3</v>
      </c>
      <c r="E19" s="18">
        <v>7.9</v>
      </c>
      <c r="F19" s="18">
        <v>8.3000000000000007</v>
      </c>
      <c r="G19" s="18">
        <v>24.95</v>
      </c>
      <c r="R19" s="10"/>
      <c r="T19" s="5"/>
    </row>
    <row r="20" spans="1:20" x14ac:dyDescent="0.25">
      <c r="A20">
        <v>19</v>
      </c>
      <c r="B20" t="s">
        <v>11</v>
      </c>
      <c r="C20" s="18">
        <v>79.284999999999982</v>
      </c>
      <c r="D20" s="13">
        <v>12</v>
      </c>
      <c r="E20" s="18">
        <v>7.9</v>
      </c>
      <c r="F20" s="18">
        <v>5.9</v>
      </c>
      <c r="G20" s="18">
        <v>70.91</v>
      </c>
      <c r="T20" s="5"/>
    </row>
    <row r="21" spans="1:20" x14ac:dyDescent="0.25">
      <c r="A21">
        <v>20</v>
      </c>
      <c r="B21" t="s">
        <v>82</v>
      </c>
      <c r="C21" s="18">
        <v>26.09</v>
      </c>
      <c r="D21" s="13">
        <v>3</v>
      </c>
      <c r="E21" s="18">
        <v>7.9</v>
      </c>
      <c r="F21" s="18">
        <v>7.9</v>
      </c>
      <c r="G21" s="18">
        <v>23.84</v>
      </c>
      <c r="R21" s="10"/>
      <c r="T21" s="10"/>
    </row>
    <row r="22" spans="1:20" x14ac:dyDescent="0.25">
      <c r="A22">
        <v>21</v>
      </c>
      <c r="B22" s="10" t="s">
        <v>17</v>
      </c>
      <c r="C22" s="18">
        <v>25.905000000000001</v>
      </c>
      <c r="D22" s="13">
        <v>3</v>
      </c>
      <c r="E22" s="18">
        <v>7.8</v>
      </c>
      <c r="F22" s="18">
        <v>8.1</v>
      </c>
      <c r="G22" s="18">
        <v>24.28</v>
      </c>
      <c r="T22" s="5"/>
    </row>
    <row r="23" spans="1:20" x14ac:dyDescent="0.25">
      <c r="A23">
        <v>22</v>
      </c>
      <c r="B23" s="10" t="s">
        <v>65</v>
      </c>
      <c r="C23" s="18">
        <v>18.045000000000002</v>
      </c>
      <c r="D23" s="13">
        <v>2</v>
      </c>
      <c r="E23" s="18">
        <v>7.8</v>
      </c>
      <c r="F23" s="18">
        <v>8.6</v>
      </c>
      <c r="G23" s="18">
        <v>17.170000000000002</v>
      </c>
      <c r="R23" s="5"/>
      <c r="T23" s="10"/>
    </row>
    <row r="24" spans="1:20" x14ac:dyDescent="0.25">
      <c r="A24">
        <v>23</v>
      </c>
      <c r="B24" t="s">
        <v>286</v>
      </c>
      <c r="C24" s="18">
        <v>33.540000000000006</v>
      </c>
      <c r="D24" s="13">
        <v>4</v>
      </c>
      <c r="E24" s="18">
        <v>7.8</v>
      </c>
      <c r="F24" s="18">
        <v>8.3000000000000007</v>
      </c>
      <c r="G24" s="18">
        <v>33.040000000000006</v>
      </c>
      <c r="T24" s="10"/>
    </row>
    <row r="25" spans="1:20" x14ac:dyDescent="0.25">
      <c r="A25">
        <v>24</v>
      </c>
      <c r="B25" t="s">
        <v>68</v>
      </c>
      <c r="C25" s="18">
        <v>17.978999999999999</v>
      </c>
      <c r="D25" s="13">
        <v>2</v>
      </c>
      <c r="E25" s="18">
        <v>7.7</v>
      </c>
      <c r="F25" s="18">
        <v>8.5</v>
      </c>
      <c r="G25" s="18">
        <v>16.978999999999999</v>
      </c>
      <c r="T25" s="5"/>
    </row>
    <row r="26" spans="1:20" x14ac:dyDescent="0.25">
      <c r="A26">
        <v>25</v>
      </c>
      <c r="B26" s="10" t="s">
        <v>63</v>
      </c>
      <c r="C26" s="18">
        <v>10.09</v>
      </c>
      <c r="D26" s="13">
        <v>1</v>
      </c>
      <c r="E26" s="18">
        <v>7.6</v>
      </c>
      <c r="F26" s="18">
        <v>9.3000000000000007</v>
      </c>
      <c r="G26" s="18">
        <v>9.34</v>
      </c>
      <c r="T26" s="10"/>
    </row>
    <row r="27" spans="1:20" x14ac:dyDescent="0.25">
      <c r="A27">
        <v>26</v>
      </c>
      <c r="B27" s="5" t="s">
        <v>577</v>
      </c>
      <c r="C27" s="18">
        <v>10.08</v>
      </c>
      <c r="D27" s="13">
        <v>1</v>
      </c>
      <c r="E27" s="18">
        <v>7.6</v>
      </c>
      <c r="F27" s="18">
        <v>9.3000000000000007</v>
      </c>
      <c r="G27" s="18">
        <v>9.33</v>
      </c>
      <c r="T27" s="5"/>
    </row>
    <row r="28" spans="1:20" x14ac:dyDescent="0.25">
      <c r="A28">
        <v>27</v>
      </c>
      <c r="B28" t="s">
        <v>58</v>
      </c>
      <c r="C28" s="18">
        <v>40.35</v>
      </c>
      <c r="D28" s="13">
        <v>5</v>
      </c>
      <c r="E28" s="18">
        <v>7.6</v>
      </c>
      <c r="F28" s="18">
        <v>7.8</v>
      </c>
      <c r="G28" s="18">
        <v>39.1</v>
      </c>
      <c r="T28" s="10"/>
    </row>
    <row r="29" spans="1:20" x14ac:dyDescent="0.25">
      <c r="A29">
        <v>28</v>
      </c>
      <c r="B29" t="s">
        <v>799</v>
      </c>
      <c r="C29" s="18">
        <v>9.9700000000000006</v>
      </c>
      <c r="D29" s="13">
        <v>1</v>
      </c>
      <c r="E29" s="18">
        <v>7.5</v>
      </c>
      <c r="F29" s="18">
        <v>9.1999999999999993</v>
      </c>
      <c r="G29" s="18">
        <v>9.2200000000000006</v>
      </c>
      <c r="T29" s="10"/>
    </row>
    <row r="30" spans="1:20" x14ac:dyDescent="0.25">
      <c r="A30">
        <v>29</v>
      </c>
      <c r="B30" t="s">
        <v>815</v>
      </c>
      <c r="C30" s="18">
        <v>17.48</v>
      </c>
      <c r="D30" s="13">
        <v>2</v>
      </c>
      <c r="E30" s="18">
        <v>7.5</v>
      </c>
      <c r="F30" s="18">
        <v>8.6</v>
      </c>
      <c r="G30" s="18">
        <v>17.23</v>
      </c>
      <c r="T30" s="10"/>
    </row>
    <row r="31" spans="1:20" x14ac:dyDescent="0.25">
      <c r="A31">
        <v>30</v>
      </c>
      <c r="B31" s="10" t="s">
        <v>416</v>
      </c>
      <c r="C31" s="18">
        <v>24.594999999999999</v>
      </c>
      <c r="D31" s="13">
        <v>3</v>
      </c>
      <c r="E31" s="18">
        <v>7.4</v>
      </c>
      <c r="F31" s="18">
        <v>7.8</v>
      </c>
      <c r="G31" s="18">
        <v>23.47</v>
      </c>
      <c r="T31" s="10"/>
    </row>
    <row r="32" spans="1:20" x14ac:dyDescent="0.25">
      <c r="A32">
        <v>31</v>
      </c>
      <c r="B32" t="s">
        <v>10</v>
      </c>
      <c r="C32" s="18">
        <v>32.185000000000002</v>
      </c>
      <c r="D32" s="13">
        <v>4</v>
      </c>
      <c r="E32" s="18">
        <v>7.4</v>
      </c>
      <c r="F32" s="18">
        <v>7.9</v>
      </c>
      <c r="G32" s="18">
        <v>31.56</v>
      </c>
      <c r="T32" s="5"/>
    </row>
    <row r="33" spans="1:20" x14ac:dyDescent="0.25">
      <c r="A33">
        <v>32</v>
      </c>
      <c r="B33" s="10" t="s">
        <v>439</v>
      </c>
      <c r="C33" s="18">
        <v>9.8699999999999992</v>
      </c>
      <c r="D33" s="13">
        <v>1</v>
      </c>
      <c r="E33" s="18">
        <v>7.4</v>
      </c>
      <c r="F33" s="18">
        <v>9.6</v>
      </c>
      <c r="G33" s="18">
        <v>9.6199999999999992</v>
      </c>
      <c r="T33" s="10"/>
    </row>
    <row r="34" spans="1:20" x14ac:dyDescent="0.25">
      <c r="A34">
        <v>33</v>
      </c>
      <c r="B34" s="10" t="s">
        <v>64</v>
      </c>
      <c r="C34" s="18">
        <v>24.609000000000002</v>
      </c>
      <c r="D34" s="13">
        <v>3</v>
      </c>
      <c r="E34" s="18">
        <v>7.4</v>
      </c>
      <c r="F34" s="18">
        <v>7.9</v>
      </c>
      <c r="G34" s="18">
        <v>23.609000000000002</v>
      </c>
      <c r="T34" s="5"/>
    </row>
    <row r="35" spans="1:20" x14ac:dyDescent="0.25">
      <c r="A35">
        <v>34</v>
      </c>
      <c r="B35" t="s">
        <v>165</v>
      </c>
      <c r="C35" s="18">
        <v>17.36</v>
      </c>
      <c r="D35" s="13">
        <v>2</v>
      </c>
      <c r="E35" s="18">
        <v>7.4</v>
      </c>
      <c r="F35" s="18">
        <v>8.1999999999999993</v>
      </c>
      <c r="G35" s="18">
        <v>16.36</v>
      </c>
      <c r="T35" s="5"/>
    </row>
    <row r="36" spans="1:20" x14ac:dyDescent="0.25">
      <c r="A36">
        <v>35</v>
      </c>
      <c r="B36" s="10" t="s">
        <v>494</v>
      </c>
      <c r="C36" s="18">
        <v>17.3</v>
      </c>
      <c r="D36" s="4">
        <v>2</v>
      </c>
      <c r="E36" s="18">
        <v>7.4</v>
      </c>
      <c r="F36" s="18">
        <v>8.3000000000000007</v>
      </c>
      <c r="G36" s="18">
        <v>16.55</v>
      </c>
      <c r="T36" s="10"/>
    </row>
    <row r="37" spans="1:20" x14ac:dyDescent="0.25">
      <c r="A37">
        <v>36</v>
      </c>
      <c r="B37" s="10" t="s">
        <v>415</v>
      </c>
      <c r="C37" s="18">
        <v>9.8450000000000006</v>
      </c>
      <c r="D37" s="13">
        <v>1</v>
      </c>
      <c r="E37" s="18">
        <v>7.3</v>
      </c>
      <c r="F37" s="18">
        <v>9.6999999999999993</v>
      </c>
      <c r="G37" s="18">
        <v>9.7200000000000006</v>
      </c>
      <c r="T37" s="10"/>
    </row>
    <row r="38" spans="1:20" x14ac:dyDescent="0.25">
      <c r="A38">
        <v>37</v>
      </c>
      <c r="B38" t="s">
        <v>23</v>
      </c>
      <c r="C38" s="18">
        <v>17.12</v>
      </c>
      <c r="D38" s="4">
        <v>2</v>
      </c>
      <c r="E38" s="18">
        <v>7.3</v>
      </c>
      <c r="F38" s="18">
        <v>8.1</v>
      </c>
      <c r="G38" s="18">
        <v>16.12</v>
      </c>
      <c r="T38" s="10"/>
    </row>
    <row r="39" spans="1:20" x14ac:dyDescent="0.25">
      <c r="A39">
        <v>38</v>
      </c>
      <c r="B39" s="10" t="s">
        <v>250</v>
      </c>
      <c r="C39" s="18">
        <v>9.77</v>
      </c>
      <c r="D39" s="13">
        <v>1</v>
      </c>
      <c r="E39" s="18">
        <v>7.3</v>
      </c>
      <c r="F39" s="18">
        <v>9.5</v>
      </c>
      <c r="G39" s="18">
        <v>9.52</v>
      </c>
      <c r="T39" s="10"/>
    </row>
    <row r="40" spans="1:20" x14ac:dyDescent="0.25">
      <c r="A40">
        <v>39</v>
      </c>
      <c r="B40" s="10" t="s">
        <v>289</v>
      </c>
      <c r="C40" s="18">
        <v>17.179000000000002</v>
      </c>
      <c r="D40" s="13">
        <v>2</v>
      </c>
      <c r="E40" s="18">
        <v>7.3</v>
      </c>
      <c r="F40" s="18">
        <v>8.6</v>
      </c>
      <c r="G40" s="18">
        <v>17.179000000000002</v>
      </c>
      <c r="T40" s="10"/>
    </row>
    <row r="41" spans="1:20" x14ac:dyDescent="0.25">
      <c r="A41">
        <v>40</v>
      </c>
      <c r="B41" t="s">
        <v>761</v>
      </c>
      <c r="C41" s="18">
        <v>9.7899999999999991</v>
      </c>
      <c r="D41" s="13">
        <v>1</v>
      </c>
      <c r="E41" s="18">
        <v>7.3</v>
      </c>
      <c r="F41" s="18">
        <v>9</v>
      </c>
      <c r="G41" s="18">
        <v>9.0399999999999991</v>
      </c>
      <c r="T41" s="10"/>
    </row>
    <row r="42" spans="1:20" x14ac:dyDescent="0.25">
      <c r="A42">
        <v>41</v>
      </c>
      <c r="B42" t="s">
        <v>12</v>
      </c>
      <c r="C42" s="18">
        <v>24.264999999999997</v>
      </c>
      <c r="D42" s="13">
        <v>3</v>
      </c>
      <c r="E42" s="18">
        <v>7.3</v>
      </c>
      <c r="F42" s="18">
        <v>7.9</v>
      </c>
      <c r="G42" s="18">
        <v>23.639999999999997</v>
      </c>
      <c r="T42" s="10"/>
    </row>
    <row r="43" spans="1:20" x14ac:dyDescent="0.25">
      <c r="A43">
        <v>42</v>
      </c>
      <c r="B43" t="s">
        <v>457</v>
      </c>
      <c r="C43" s="18">
        <v>17.04</v>
      </c>
      <c r="D43" s="13">
        <v>2</v>
      </c>
      <c r="E43" s="18">
        <v>7.3</v>
      </c>
      <c r="F43" s="18">
        <v>8</v>
      </c>
      <c r="G43" s="18">
        <v>16.04</v>
      </c>
      <c r="T43" s="5"/>
    </row>
    <row r="44" spans="1:20" x14ac:dyDescent="0.25">
      <c r="A44">
        <v>43</v>
      </c>
      <c r="B44" s="10" t="s">
        <v>835</v>
      </c>
      <c r="C44" s="18">
        <v>17.060000000000002</v>
      </c>
      <c r="D44" s="13">
        <v>2</v>
      </c>
      <c r="E44" s="18">
        <v>7.3</v>
      </c>
      <c r="F44" s="18">
        <v>8</v>
      </c>
      <c r="G44" s="18">
        <v>16.060000000000002</v>
      </c>
      <c r="T44" s="6"/>
    </row>
    <row r="45" spans="1:20" x14ac:dyDescent="0.25">
      <c r="A45">
        <v>44</v>
      </c>
      <c r="B45" s="10" t="s">
        <v>242</v>
      </c>
      <c r="C45" s="18">
        <v>9.7200000000000006</v>
      </c>
      <c r="D45" s="13">
        <v>1</v>
      </c>
      <c r="E45" s="18">
        <v>7.2</v>
      </c>
      <c r="F45" s="18">
        <v>9.6999999999999993</v>
      </c>
      <c r="G45" s="18">
        <v>9.7200000000000006</v>
      </c>
      <c r="T45" s="5"/>
    </row>
    <row r="46" spans="1:20" x14ac:dyDescent="0.25">
      <c r="A46">
        <v>45</v>
      </c>
      <c r="B46" t="s">
        <v>263</v>
      </c>
      <c r="C46" s="18">
        <v>9.7100000000000009</v>
      </c>
      <c r="D46" s="13">
        <v>1</v>
      </c>
      <c r="E46" s="18">
        <v>7.2</v>
      </c>
      <c r="F46" s="18">
        <v>9.6999999999999993</v>
      </c>
      <c r="G46" s="18">
        <v>9.7100000000000009</v>
      </c>
      <c r="T46" s="10"/>
    </row>
    <row r="47" spans="1:20" x14ac:dyDescent="0.25">
      <c r="A47">
        <v>46</v>
      </c>
      <c r="B47" t="s">
        <v>158</v>
      </c>
      <c r="C47" s="18">
        <v>38.594999999999999</v>
      </c>
      <c r="D47" s="13">
        <v>5</v>
      </c>
      <c r="E47" s="18">
        <v>7.2</v>
      </c>
      <c r="F47" s="18">
        <v>7.1</v>
      </c>
      <c r="G47" s="18">
        <v>35.47</v>
      </c>
      <c r="T47" s="10"/>
    </row>
    <row r="48" spans="1:20" x14ac:dyDescent="0.25">
      <c r="A48">
        <v>47</v>
      </c>
      <c r="B48" t="s">
        <v>440</v>
      </c>
      <c r="C48" s="18">
        <v>9.7449999999999992</v>
      </c>
      <c r="D48" s="13">
        <v>1</v>
      </c>
      <c r="E48" s="18">
        <v>7.2</v>
      </c>
      <c r="F48" s="18">
        <v>9.6</v>
      </c>
      <c r="G48" s="18">
        <v>9.6199999999999992</v>
      </c>
      <c r="T48" s="5"/>
    </row>
    <row r="49" spans="1:20" x14ac:dyDescent="0.25">
      <c r="A49">
        <v>48</v>
      </c>
      <c r="B49" s="5" t="s">
        <v>551</v>
      </c>
      <c r="C49" s="18">
        <v>16.945</v>
      </c>
      <c r="D49" s="13">
        <v>2</v>
      </c>
      <c r="E49" s="18">
        <v>7.2</v>
      </c>
      <c r="F49" s="18">
        <v>8.4</v>
      </c>
      <c r="G49" s="18">
        <v>16.82</v>
      </c>
      <c r="T49" s="5"/>
    </row>
    <row r="50" spans="1:20" x14ac:dyDescent="0.25">
      <c r="A50">
        <v>49</v>
      </c>
      <c r="B50" t="s">
        <v>252</v>
      </c>
      <c r="C50" s="18">
        <v>16.829999999999998</v>
      </c>
      <c r="D50" s="13">
        <v>2</v>
      </c>
      <c r="E50" s="18">
        <v>7.2</v>
      </c>
      <c r="F50" s="18">
        <v>8.4</v>
      </c>
      <c r="G50" s="18">
        <v>16.829999999999998</v>
      </c>
      <c r="T50" s="5"/>
    </row>
    <row r="51" spans="1:20" x14ac:dyDescent="0.25">
      <c r="A51">
        <v>50</v>
      </c>
      <c r="B51" t="s">
        <v>378</v>
      </c>
      <c r="C51" s="18">
        <v>9.68</v>
      </c>
      <c r="D51" s="13">
        <v>1</v>
      </c>
      <c r="E51" s="18">
        <v>7.2</v>
      </c>
      <c r="F51" s="18">
        <v>9.4</v>
      </c>
      <c r="G51" s="18">
        <v>9.43</v>
      </c>
      <c r="T51" s="5"/>
    </row>
    <row r="52" spans="1:20" x14ac:dyDescent="0.25">
      <c r="A52">
        <v>51</v>
      </c>
      <c r="B52" t="s">
        <v>712</v>
      </c>
      <c r="C52" s="18">
        <v>9.66</v>
      </c>
      <c r="D52" s="13">
        <v>1</v>
      </c>
      <c r="E52" s="18">
        <v>7.2</v>
      </c>
      <c r="F52" s="18">
        <v>9.4</v>
      </c>
      <c r="G52" s="18">
        <v>9.41</v>
      </c>
      <c r="T52" s="10"/>
    </row>
    <row r="53" spans="1:20" x14ac:dyDescent="0.25">
      <c r="A53">
        <v>52</v>
      </c>
      <c r="B53" t="s">
        <v>441</v>
      </c>
      <c r="C53" s="18">
        <v>9.6199999999999992</v>
      </c>
      <c r="D53" s="13">
        <v>1</v>
      </c>
      <c r="E53" s="18">
        <v>7.1</v>
      </c>
      <c r="F53" s="18">
        <v>9.6</v>
      </c>
      <c r="G53" s="18">
        <v>9.6199999999999992</v>
      </c>
      <c r="T53" s="5"/>
    </row>
    <row r="54" spans="1:20" x14ac:dyDescent="0.25">
      <c r="A54">
        <v>53</v>
      </c>
      <c r="B54" t="s">
        <v>552</v>
      </c>
      <c r="C54" s="18">
        <v>9.61</v>
      </c>
      <c r="D54" s="13">
        <v>1</v>
      </c>
      <c r="E54" s="18">
        <v>7.1</v>
      </c>
      <c r="F54" s="18">
        <v>9.6</v>
      </c>
      <c r="G54" s="18">
        <v>9.61</v>
      </c>
      <c r="T54" s="5"/>
    </row>
    <row r="55" spans="1:20" x14ac:dyDescent="0.25">
      <c r="A55">
        <v>54</v>
      </c>
      <c r="B55" t="s">
        <v>251</v>
      </c>
      <c r="C55" s="18">
        <v>9.6449999999999996</v>
      </c>
      <c r="D55" s="13">
        <v>1</v>
      </c>
      <c r="E55" s="18">
        <v>7.1</v>
      </c>
      <c r="F55" s="18">
        <v>9.5</v>
      </c>
      <c r="G55" s="18">
        <v>9.52</v>
      </c>
      <c r="T55" s="10"/>
    </row>
    <row r="56" spans="1:20" x14ac:dyDescent="0.25">
      <c r="A56">
        <v>55</v>
      </c>
      <c r="B56" s="10" t="s">
        <v>741</v>
      </c>
      <c r="C56" s="18">
        <v>9.58</v>
      </c>
      <c r="D56" s="13">
        <v>1</v>
      </c>
      <c r="E56" s="18">
        <v>7.1</v>
      </c>
      <c r="F56" s="18">
        <v>9.3000000000000007</v>
      </c>
      <c r="G56" s="18">
        <v>9.33</v>
      </c>
      <c r="T56" s="10"/>
    </row>
    <row r="57" spans="1:20" x14ac:dyDescent="0.25">
      <c r="A57">
        <v>56</v>
      </c>
      <c r="B57" t="s">
        <v>643</v>
      </c>
      <c r="C57" s="18">
        <v>9.57</v>
      </c>
      <c r="D57" s="13">
        <v>1</v>
      </c>
      <c r="E57" s="18">
        <v>7.1</v>
      </c>
      <c r="F57" s="18">
        <v>9.3000000000000007</v>
      </c>
      <c r="G57" s="18">
        <v>9.32</v>
      </c>
      <c r="T57" s="5"/>
    </row>
    <row r="58" spans="1:20" x14ac:dyDescent="0.25">
      <c r="A58">
        <v>57</v>
      </c>
      <c r="B58" t="s">
        <v>33</v>
      </c>
      <c r="C58" s="18">
        <v>9.56</v>
      </c>
      <c r="D58" s="13">
        <v>1</v>
      </c>
      <c r="E58" s="18">
        <v>7.1</v>
      </c>
      <c r="F58" s="18">
        <v>9.3000000000000007</v>
      </c>
      <c r="G58" s="18">
        <v>9.31</v>
      </c>
      <c r="T58" s="10"/>
    </row>
    <row r="59" spans="1:20" x14ac:dyDescent="0.25">
      <c r="A59">
        <v>58</v>
      </c>
      <c r="B59" t="s">
        <v>274</v>
      </c>
      <c r="C59" s="18">
        <v>16.774999999999999</v>
      </c>
      <c r="D59" s="13">
        <v>2</v>
      </c>
      <c r="E59" s="18">
        <v>7.1</v>
      </c>
      <c r="F59" s="18">
        <v>8.3000000000000007</v>
      </c>
      <c r="G59" s="18">
        <v>16.649999999999999</v>
      </c>
      <c r="T59" s="5"/>
    </row>
    <row r="60" spans="1:20" x14ac:dyDescent="0.25">
      <c r="A60">
        <v>59</v>
      </c>
      <c r="B60" t="s">
        <v>46</v>
      </c>
      <c r="C60" s="18">
        <v>16.68</v>
      </c>
      <c r="D60" s="13">
        <v>2</v>
      </c>
      <c r="E60" s="18">
        <v>7.1</v>
      </c>
      <c r="F60" s="18">
        <v>8.1999999999999993</v>
      </c>
      <c r="G60" s="18">
        <v>16.43</v>
      </c>
      <c r="T60" s="5"/>
    </row>
    <row r="61" spans="1:20" x14ac:dyDescent="0.25">
      <c r="A61">
        <v>60</v>
      </c>
      <c r="B61" s="10" t="s">
        <v>114</v>
      </c>
      <c r="C61" s="18">
        <v>23.8</v>
      </c>
      <c r="D61" s="13">
        <v>3</v>
      </c>
      <c r="E61" s="18">
        <v>7.1</v>
      </c>
      <c r="F61" s="18">
        <v>7.4</v>
      </c>
      <c r="G61" s="18">
        <v>22.05</v>
      </c>
      <c r="T61" s="5"/>
    </row>
    <row r="62" spans="1:20" x14ac:dyDescent="0.25">
      <c r="A62">
        <v>61</v>
      </c>
      <c r="B62" t="s">
        <v>713</v>
      </c>
      <c r="C62" s="18">
        <v>9.5350000000000001</v>
      </c>
      <c r="D62" s="13">
        <v>1</v>
      </c>
      <c r="E62" s="18">
        <v>7</v>
      </c>
      <c r="F62" s="18">
        <v>9.4</v>
      </c>
      <c r="G62" s="18">
        <v>9.41</v>
      </c>
      <c r="T62" s="10"/>
    </row>
    <row r="63" spans="1:20" x14ac:dyDescent="0.25">
      <c r="A63">
        <v>62</v>
      </c>
      <c r="B63" t="s">
        <v>742</v>
      </c>
      <c r="C63" s="18">
        <v>9.4550000000000001</v>
      </c>
      <c r="D63" s="13">
        <v>1</v>
      </c>
      <c r="E63" s="18">
        <v>7</v>
      </c>
      <c r="F63" s="18">
        <v>9.3000000000000007</v>
      </c>
      <c r="G63" s="18">
        <v>9.33</v>
      </c>
      <c r="T63" s="10"/>
    </row>
    <row r="64" spans="1:20" x14ac:dyDescent="0.25">
      <c r="A64">
        <v>63</v>
      </c>
      <c r="B64" s="10" t="s">
        <v>800</v>
      </c>
      <c r="C64" s="18">
        <v>9.4700000000000006</v>
      </c>
      <c r="D64" s="13">
        <v>1</v>
      </c>
      <c r="E64" s="18">
        <v>7</v>
      </c>
      <c r="F64" s="18">
        <v>9.1999999999999993</v>
      </c>
      <c r="G64" s="18">
        <v>9.2200000000000006</v>
      </c>
      <c r="T64" s="5"/>
    </row>
    <row r="65" spans="1:20" x14ac:dyDescent="0.25">
      <c r="A65">
        <v>64</v>
      </c>
      <c r="B65" t="s">
        <v>515</v>
      </c>
      <c r="C65" s="18">
        <v>23.524999999999999</v>
      </c>
      <c r="D65" s="13">
        <v>3</v>
      </c>
      <c r="E65" s="18">
        <v>7</v>
      </c>
      <c r="F65" s="18">
        <v>7.8</v>
      </c>
      <c r="G65" s="18">
        <v>23.4</v>
      </c>
      <c r="T65" s="5"/>
    </row>
    <row r="66" spans="1:20" x14ac:dyDescent="0.25">
      <c r="A66">
        <v>65</v>
      </c>
      <c r="B66" t="s">
        <v>153</v>
      </c>
      <c r="C66" s="18">
        <v>30.540000000000003</v>
      </c>
      <c r="D66" s="13">
        <v>4</v>
      </c>
      <c r="E66" s="18">
        <v>7</v>
      </c>
      <c r="F66" s="18">
        <v>7.2</v>
      </c>
      <c r="G66" s="18">
        <v>28.790000000000003</v>
      </c>
      <c r="T66" s="10"/>
    </row>
    <row r="67" spans="1:20" x14ac:dyDescent="0.25">
      <c r="A67">
        <v>66</v>
      </c>
      <c r="B67" t="s">
        <v>245</v>
      </c>
      <c r="C67" s="18">
        <v>23.585000000000001</v>
      </c>
      <c r="D67" s="13">
        <v>3</v>
      </c>
      <c r="E67" s="18">
        <v>7</v>
      </c>
      <c r="F67" s="18">
        <v>7.7</v>
      </c>
      <c r="G67" s="18">
        <v>22.96</v>
      </c>
      <c r="T67" s="5"/>
    </row>
    <row r="68" spans="1:20" x14ac:dyDescent="0.25">
      <c r="A68">
        <v>67</v>
      </c>
      <c r="B68" t="s">
        <v>75</v>
      </c>
      <c r="C68" s="18">
        <v>16.57</v>
      </c>
      <c r="D68" s="13">
        <v>2</v>
      </c>
      <c r="E68" s="18">
        <v>7</v>
      </c>
      <c r="F68" s="18">
        <v>7.9</v>
      </c>
      <c r="G68" s="18">
        <v>15.82</v>
      </c>
      <c r="T68" s="10"/>
    </row>
    <row r="69" spans="1:20" x14ac:dyDescent="0.25">
      <c r="A69">
        <v>68</v>
      </c>
      <c r="B69" t="s">
        <v>845</v>
      </c>
      <c r="C69" s="18">
        <v>16.55</v>
      </c>
      <c r="D69" s="13">
        <v>2</v>
      </c>
      <c r="E69" s="18">
        <v>7</v>
      </c>
      <c r="F69" s="18">
        <v>8.3000000000000007</v>
      </c>
      <c r="G69" s="18">
        <v>16.55</v>
      </c>
      <c r="T69" s="10"/>
    </row>
    <row r="70" spans="1:20" x14ac:dyDescent="0.25">
      <c r="A70">
        <v>69</v>
      </c>
      <c r="B70" t="s">
        <v>49</v>
      </c>
      <c r="C70" s="18">
        <v>48.11</v>
      </c>
      <c r="D70" s="13">
        <v>8</v>
      </c>
      <c r="E70" s="18">
        <v>7</v>
      </c>
      <c r="F70" s="18">
        <v>5.3</v>
      </c>
      <c r="G70" s="18">
        <v>42.11</v>
      </c>
      <c r="T70" s="10"/>
    </row>
    <row r="71" spans="1:20" x14ac:dyDescent="0.25">
      <c r="A71">
        <v>70</v>
      </c>
      <c r="B71" t="s">
        <v>993</v>
      </c>
      <c r="C71" s="18">
        <v>16.52</v>
      </c>
      <c r="D71" s="13">
        <v>2</v>
      </c>
      <c r="E71" s="18">
        <v>7</v>
      </c>
      <c r="F71" s="18">
        <v>8</v>
      </c>
      <c r="G71" s="18">
        <v>16.02</v>
      </c>
      <c r="T71" s="10"/>
    </row>
    <row r="72" spans="1:20" x14ac:dyDescent="0.25">
      <c r="A72">
        <v>71</v>
      </c>
      <c r="B72" t="s">
        <v>379</v>
      </c>
      <c r="C72" s="18">
        <v>9.43</v>
      </c>
      <c r="D72" s="13">
        <v>1</v>
      </c>
      <c r="E72" s="18">
        <v>6.9</v>
      </c>
      <c r="F72" s="18">
        <v>9.4</v>
      </c>
      <c r="G72" s="18">
        <v>9.43</v>
      </c>
      <c r="T72" s="10"/>
    </row>
    <row r="73" spans="1:20" x14ac:dyDescent="0.25">
      <c r="A73">
        <v>72</v>
      </c>
      <c r="B73" s="10" t="s">
        <v>434</v>
      </c>
      <c r="C73" s="18">
        <v>16.39</v>
      </c>
      <c r="D73" s="13">
        <v>2</v>
      </c>
      <c r="E73" s="18">
        <v>6.9</v>
      </c>
      <c r="F73" s="18">
        <v>7.8</v>
      </c>
      <c r="G73" s="18">
        <v>15.64</v>
      </c>
      <c r="T73" s="10"/>
    </row>
    <row r="74" spans="1:20" x14ac:dyDescent="0.25">
      <c r="A74">
        <v>73</v>
      </c>
      <c r="B74" s="10" t="s">
        <v>288</v>
      </c>
      <c r="C74" s="18">
        <v>9.3550000000000004</v>
      </c>
      <c r="D74" s="13">
        <v>1</v>
      </c>
      <c r="E74" s="18">
        <v>6.9</v>
      </c>
      <c r="F74" s="18">
        <v>9.1999999999999993</v>
      </c>
      <c r="G74" s="18">
        <v>9.23</v>
      </c>
      <c r="T74" s="10"/>
    </row>
    <row r="75" spans="1:20" x14ac:dyDescent="0.25">
      <c r="A75">
        <v>74</v>
      </c>
      <c r="B75" t="s">
        <v>505</v>
      </c>
      <c r="C75" s="18">
        <v>9.39</v>
      </c>
      <c r="D75" s="13">
        <v>1</v>
      </c>
      <c r="E75" s="18">
        <v>6.9</v>
      </c>
      <c r="F75" s="18">
        <v>9.1</v>
      </c>
      <c r="G75" s="18">
        <v>9.14</v>
      </c>
      <c r="T75" s="10"/>
    </row>
    <row r="76" spans="1:20" x14ac:dyDescent="0.25">
      <c r="A76">
        <v>75</v>
      </c>
      <c r="B76" s="10" t="s">
        <v>495</v>
      </c>
      <c r="C76" s="18">
        <v>9.3800000000000008</v>
      </c>
      <c r="D76" s="13">
        <v>1</v>
      </c>
      <c r="E76" s="18">
        <v>6.9</v>
      </c>
      <c r="F76" s="18">
        <v>9.1</v>
      </c>
      <c r="G76" s="18">
        <v>9.1300000000000008</v>
      </c>
      <c r="T76" s="5"/>
    </row>
    <row r="77" spans="1:20" x14ac:dyDescent="0.25">
      <c r="A77">
        <v>76</v>
      </c>
      <c r="B77" t="s">
        <v>694</v>
      </c>
      <c r="C77" s="18">
        <v>9.3699999999999992</v>
      </c>
      <c r="D77" s="13">
        <v>1</v>
      </c>
      <c r="E77" s="18">
        <v>6.9</v>
      </c>
      <c r="F77" s="18">
        <v>9.1</v>
      </c>
      <c r="G77" s="18">
        <v>9.1199999999999992</v>
      </c>
      <c r="T77" s="5"/>
    </row>
    <row r="78" spans="1:20" x14ac:dyDescent="0.25">
      <c r="A78">
        <v>77</v>
      </c>
      <c r="B78" t="s">
        <v>307</v>
      </c>
      <c r="C78" s="18">
        <v>16.305</v>
      </c>
      <c r="D78" s="13">
        <v>2</v>
      </c>
      <c r="E78" s="18">
        <v>6.9</v>
      </c>
      <c r="F78" s="18">
        <v>8</v>
      </c>
      <c r="G78" s="18">
        <v>15.93</v>
      </c>
      <c r="T78" s="10"/>
    </row>
    <row r="79" spans="1:20" x14ac:dyDescent="0.25">
      <c r="A79">
        <v>78</v>
      </c>
      <c r="B79" t="s">
        <v>170</v>
      </c>
      <c r="C79" s="18">
        <v>23.29</v>
      </c>
      <c r="D79" s="13">
        <v>3</v>
      </c>
      <c r="E79" s="18">
        <v>6.9</v>
      </c>
      <c r="F79" s="18">
        <v>7</v>
      </c>
      <c r="G79" s="18">
        <v>21.04</v>
      </c>
      <c r="T79" s="10"/>
    </row>
    <row r="80" spans="1:20" x14ac:dyDescent="0.25">
      <c r="A80">
        <v>79</v>
      </c>
      <c r="B80" t="s">
        <v>743</v>
      </c>
      <c r="C80" s="18">
        <v>9.33</v>
      </c>
      <c r="D80" s="13">
        <v>1</v>
      </c>
      <c r="E80" s="18">
        <v>6.8</v>
      </c>
      <c r="F80" s="18">
        <v>9.3000000000000007</v>
      </c>
      <c r="G80" s="18">
        <v>9.33</v>
      </c>
      <c r="T80" s="5"/>
    </row>
    <row r="81" spans="1:20" x14ac:dyDescent="0.25">
      <c r="A81">
        <v>80</v>
      </c>
      <c r="B81" s="10" t="s">
        <v>644</v>
      </c>
      <c r="C81" s="18">
        <v>9.32</v>
      </c>
      <c r="D81" s="4">
        <v>1</v>
      </c>
      <c r="E81" s="18">
        <v>6.8</v>
      </c>
      <c r="F81" s="18">
        <v>9.3000000000000007</v>
      </c>
      <c r="G81" s="18">
        <v>9.32</v>
      </c>
      <c r="T81" s="11"/>
    </row>
    <row r="82" spans="1:20" x14ac:dyDescent="0.25">
      <c r="A82">
        <v>81</v>
      </c>
      <c r="B82" t="s">
        <v>264</v>
      </c>
      <c r="C82" s="18">
        <v>9.31</v>
      </c>
      <c r="D82" s="13">
        <v>1</v>
      </c>
      <c r="E82" s="18">
        <v>6.8</v>
      </c>
      <c r="F82" s="18">
        <v>9.3000000000000007</v>
      </c>
      <c r="G82" s="18">
        <v>9.31</v>
      </c>
      <c r="T82" s="5"/>
    </row>
    <row r="83" spans="1:20" x14ac:dyDescent="0.25">
      <c r="A83">
        <v>82</v>
      </c>
      <c r="B83" s="5" t="s">
        <v>801</v>
      </c>
      <c r="C83" s="18">
        <v>9.3450000000000006</v>
      </c>
      <c r="D83" s="13">
        <v>1</v>
      </c>
      <c r="E83" s="18">
        <v>6.8</v>
      </c>
      <c r="F83" s="18">
        <v>9.1999999999999993</v>
      </c>
      <c r="G83" s="18">
        <v>9.2200000000000006</v>
      </c>
      <c r="T83" s="5"/>
    </row>
    <row r="84" spans="1:20" x14ac:dyDescent="0.25">
      <c r="A84">
        <v>83</v>
      </c>
      <c r="B84" t="s">
        <v>61</v>
      </c>
      <c r="C84" s="18">
        <v>9.3350000000000009</v>
      </c>
      <c r="D84" s="13">
        <v>1</v>
      </c>
      <c r="E84" s="18">
        <v>6.8</v>
      </c>
      <c r="F84" s="18">
        <v>9.1999999999999993</v>
      </c>
      <c r="G84" s="18">
        <v>9.2100000000000009</v>
      </c>
      <c r="T84" s="11"/>
    </row>
    <row r="85" spans="1:20" x14ac:dyDescent="0.25">
      <c r="A85">
        <v>84</v>
      </c>
      <c r="B85" t="s">
        <v>506</v>
      </c>
      <c r="C85" s="18">
        <v>9.2650000000000006</v>
      </c>
      <c r="D85" s="13">
        <v>1</v>
      </c>
      <c r="E85" s="18">
        <v>6.8</v>
      </c>
      <c r="F85" s="18">
        <v>9.1</v>
      </c>
      <c r="G85" s="18">
        <v>9.14</v>
      </c>
      <c r="T85" s="5"/>
    </row>
    <row r="86" spans="1:20" x14ac:dyDescent="0.25">
      <c r="A86">
        <v>85</v>
      </c>
      <c r="B86" s="10" t="s">
        <v>496</v>
      </c>
      <c r="C86" s="18">
        <v>9.2550000000000008</v>
      </c>
      <c r="D86" s="13">
        <v>1</v>
      </c>
      <c r="E86" s="18">
        <v>6.8</v>
      </c>
      <c r="F86" s="18">
        <v>9.1</v>
      </c>
      <c r="G86" s="18">
        <v>9.1300000000000008</v>
      </c>
      <c r="T86" s="10"/>
    </row>
    <row r="87" spans="1:20" x14ac:dyDescent="0.25">
      <c r="A87">
        <v>86</v>
      </c>
      <c r="B87" t="s">
        <v>980</v>
      </c>
      <c r="C87" s="18">
        <v>9.2899999999999991</v>
      </c>
      <c r="D87" s="13">
        <v>1</v>
      </c>
      <c r="E87" s="18">
        <v>6.8</v>
      </c>
      <c r="F87" s="18">
        <v>9</v>
      </c>
      <c r="G87" s="18">
        <v>9.0399999999999991</v>
      </c>
      <c r="T87" s="10"/>
    </row>
    <row r="88" spans="1:20" x14ac:dyDescent="0.25">
      <c r="A88">
        <v>87</v>
      </c>
      <c r="B88" t="s">
        <v>30</v>
      </c>
      <c r="C88" s="18">
        <v>16.085000000000001</v>
      </c>
      <c r="D88" s="13">
        <v>2</v>
      </c>
      <c r="E88" s="18">
        <v>6.8</v>
      </c>
      <c r="F88" s="18">
        <v>8</v>
      </c>
      <c r="G88" s="18">
        <v>15.96</v>
      </c>
      <c r="T88" s="5"/>
    </row>
    <row r="89" spans="1:20" x14ac:dyDescent="0.25">
      <c r="A89">
        <v>88</v>
      </c>
      <c r="B89" t="s">
        <v>622</v>
      </c>
      <c r="C89" s="18">
        <v>16.049999999999997</v>
      </c>
      <c r="D89" s="13">
        <v>2</v>
      </c>
      <c r="E89" s="18">
        <v>6.8</v>
      </c>
      <c r="F89" s="18">
        <v>7.3</v>
      </c>
      <c r="G89" s="18">
        <v>14.549999999999999</v>
      </c>
      <c r="T89" s="10"/>
    </row>
    <row r="90" spans="1:20" x14ac:dyDescent="0.25">
      <c r="A90">
        <v>89</v>
      </c>
      <c r="B90" s="10" t="s">
        <v>994</v>
      </c>
      <c r="C90" s="18">
        <v>16.02</v>
      </c>
      <c r="D90" s="13">
        <v>2</v>
      </c>
      <c r="E90" s="18">
        <v>6.8</v>
      </c>
      <c r="F90" s="18">
        <v>8</v>
      </c>
      <c r="G90" s="18">
        <v>16.02</v>
      </c>
      <c r="T90" s="10"/>
    </row>
    <row r="91" spans="1:20" x14ac:dyDescent="0.25">
      <c r="A91">
        <v>90</v>
      </c>
      <c r="B91" t="s">
        <v>802</v>
      </c>
      <c r="C91" s="18">
        <v>9.2200000000000006</v>
      </c>
      <c r="D91" s="13">
        <v>1</v>
      </c>
      <c r="E91" s="18">
        <v>6.7</v>
      </c>
      <c r="F91" s="18">
        <v>9.1999999999999993</v>
      </c>
      <c r="G91" s="18">
        <v>9.2200000000000006</v>
      </c>
      <c r="T91" s="10"/>
    </row>
    <row r="92" spans="1:20" x14ac:dyDescent="0.25">
      <c r="A92">
        <v>91</v>
      </c>
      <c r="B92" t="s">
        <v>272</v>
      </c>
      <c r="C92" s="18">
        <v>9.2100000000000009</v>
      </c>
      <c r="D92" s="13">
        <v>1</v>
      </c>
      <c r="E92" s="18">
        <v>6.7</v>
      </c>
      <c r="F92" s="18">
        <v>9.1999999999999993</v>
      </c>
      <c r="G92" s="18">
        <v>9.2100000000000009</v>
      </c>
      <c r="T92" s="5"/>
    </row>
    <row r="93" spans="1:20" x14ac:dyDescent="0.25">
      <c r="A93">
        <v>92</v>
      </c>
      <c r="B93" t="s">
        <v>695</v>
      </c>
      <c r="C93" s="18">
        <v>9.2449999999999992</v>
      </c>
      <c r="D93" s="13">
        <v>1</v>
      </c>
      <c r="E93" s="18">
        <v>6.7</v>
      </c>
      <c r="F93" s="18">
        <v>9.1</v>
      </c>
      <c r="G93" s="18">
        <v>9.1199999999999992</v>
      </c>
      <c r="T93" s="10"/>
    </row>
    <row r="94" spans="1:20" x14ac:dyDescent="0.25">
      <c r="A94">
        <v>93</v>
      </c>
      <c r="B94" t="s">
        <v>422</v>
      </c>
      <c r="C94" s="18">
        <v>9.2349999999999994</v>
      </c>
      <c r="D94" s="13">
        <v>1</v>
      </c>
      <c r="E94" s="18">
        <v>6.7</v>
      </c>
      <c r="F94" s="18">
        <v>9.1</v>
      </c>
      <c r="G94" s="18">
        <v>9.11</v>
      </c>
      <c r="T94" s="10"/>
    </row>
    <row r="95" spans="1:20" x14ac:dyDescent="0.25">
      <c r="A95">
        <v>94</v>
      </c>
      <c r="B95" t="s">
        <v>87</v>
      </c>
      <c r="C95" s="18">
        <v>22.515000000000001</v>
      </c>
      <c r="D95" s="13">
        <v>3</v>
      </c>
      <c r="E95" s="18">
        <v>6.7</v>
      </c>
      <c r="F95" s="18">
        <v>7.5</v>
      </c>
      <c r="G95" s="18">
        <v>22.39</v>
      </c>
      <c r="T95" s="5"/>
    </row>
    <row r="96" spans="1:20" x14ac:dyDescent="0.25">
      <c r="A96">
        <v>95</v>
      </c>
      <c r="B96" t="s">
        <v>491</v>
      </c>
      <c r="C96" s="18">
        <v>15.850000000000001</v>
      </c>
      <c r="D96" s="13">
        <v>2</v>
      </c>
      <c r="E96" s="18">
        <v>6.7</v>
      </c>
      <c r="F96" s="18">
        <v>7.9</v>
      </c>
      <c r="G96" s="18">
        <v>15.850000000000001</v>
      </c>
      <c r="T96" s="10"/>
    </row>
    <row r="97" spans="1:20" x14ac:dyDescent="0.25">
      <c r="A97">
        <v>96</v>
      </c>
      <c r="B97" t="s">
        <v>698</v>
      </c>
      <c r="C97" s="18">
        <v>9.17</v>
      </c>
      <c r="D97" s="13">
        <v>1</v>
      </c>
      <c r="E97" s="18">
        <v>6.7</v>
      </c>
      <c r="F97" s="18">
        <v>8.4</v>
      </c>
      <c r="G97" s="18">
        <v>8.42</v>
      </c>
      <c r="T97" s="10"/>
    </row>
    <row r="98" spans="1:20" x14ac:dyDescent="0.25">
      <c r="A98">
        <v>97</v>
      </c>
      <c r="B98" t="s">
        <v>403</v>
      </c>
      <c r="C98" s="18">
        <v>15.84</v>
      </c>
      <c r="D98" s="13">
        <v>2</v>
      </c>
      <c r="E98" s="18">
        <v>6.7</v>
      </c>
      <c r="F98" s="18">
        <v>7.4</v>
      </c>
      <c r="G98" s="18">
        <v>14.84</v>
      </c>
      <c r="T98" s="10"/>
    </row>
    <row r="99" spans="1:20" x14ac:dyDescent="0.25">
      <c r="A99">
        <v>98</v>
      </c>
      <c r="B99" t="s">
        <v>545</v>
      </c>
      <c r="C99" s="18">
        <v>22.61</v>
      </c>
      <c r="D99" s="13">
        <v>3</v>
      </c>
      <c r="E99" s="18">
        <v>6.7</v>
      </c>
      <c r="F99" s="18">
        <v>7.2</v>
      </c>
      <c r="G99" s="18">
        <v>21.61</v>
      </c>
      <c r="T99" s="10"/>
    </row>
    <row r="100" spans="1:20" x14ac:dyDescent="0.25">
      <c r="A100">
        <v>99</v>
      </c>
      <c r="B100" t="s">
        <v>136</v>
      </c>
      <c r="C100" s="18">
        <v>22.39</v>
      </c>
      <c r="D100" s="13">
        <v>3</v>
      </c>
      <c r="E100" s="18">
        <v>6.6</v>
      </c>
      <c r="F100" s="18">
        <v>6.9</v>
      </c>
      <c r="G100" s="18">
        <v>20.64</v>
      </c>
      <c r="T100" s="5"/>
    </row>
    <row r="101" spans="1:20" x14ac:dyDescent="0.25">
      <c r="A101">
        <v>100</v>
      </c>
      <c r="B101" s="5" t="s">
        <v>260</v>
      </c>
      <c r="C101" s="18">
        <v>15.615</v>
      </c>
      <c r="D101" s="13">
        <v>2</v>
      </c>
      <c r="E101" s="18">
        <v>6.6</v>
      </c>
      <c r="F101" s="18">
        <v>7.6</v>
      </c>
      <c r="G101" s="18">
        <v>15.24</v>
      </c>
      <c r="T101" s="5"/>
    </row>
    <row r="102" spans="1:20" x14ac:dyDescent="0.25">
      <c r="A102">
        <v>101</v>
      </c>
      <c r="B102" t="s">
        <v>34</v>
      </c>
      <c r="C102" s="18">
        <v>35.39</v>
      </c>
      <c r="D102" s="13">
        <v>5</v>
      </c>
      <c r="E102" s="18">
        <v>6.6</v>
      </c>
      <c r="F102" s="18">
        <v>6.8</v>
      </c>
      <c r="G102" s="18">
        <v>33.89</v>
      </c>
      <c r="T102" s="10"/>
    </row>
    <row r="103" spans="1:20" x14ac:dyDescent="0.25">
      <c r="A103">
        <v>102</v>
      </c>
      <c r="B103" s="5" t="s">
        <v>488</v>
      </c>
      <c r="C103" s="18">
        <v>15.695</v>
      </c>
      <c r="D103" s="13">
        <v>2</v>
      </c>
      <c r="E103" s="18">
        <v>6.6</v>
      </c>
      <c r="F103" s="18">
        <v>7.8</v>
      </c>
      <c r="G103" s="18">
        <v>15.57</v>
      </c>
      <c r="T103" s="10"/>
    </row>
    <row r="104" spans="1:20" x14ac:dyDescent="0.25">
      <c r="A104">
        <v>103</v>
      </c>
      <c r="B104" t="s">
        <v>497</v>
      </c>
      <c r="C104" s="18">
        <v>9.1300000000000008</v>
      </c>
      <c r="D104" s="13">
        <v>1</v>
      </c>
      <c r="E104" s="18">
        <v>6.6</v>
      </c>
      <c r="F104" s="18">
        <v>9.1</v>
      </c>
      <c r="G104" s="18">
        <v>9.1300000000000008</v>
      </c>
      <c r="T104" s="10"/>
    </row>
    <row r="105" spans="1:20" x14ac:dyDescent="0.25">
      <c r="A105">
        <v>104</v>
      </c>
      <c r="B105" t="s">
        <v>696</v>
      </c>
      <c r="C105" s="18">
        <v>9.1199999999999992</v>
      </c>
      <c r="D105" s="13">
        <v>1</v>
      </c>
      <c r="E105" s="18">
        <v>6.6</v>
      </c>
      <c r="F105" s="18">
        <v>9.1</v>
      </c>
      <c r="G105" s="18">
        <v>9.1199999999999992</v>
      </c>
      <c r="T105" s="10"/>
    </row>
    <row r="106" spans="1:20" x14ac:dyDescent="0.25">
      <c r="A106">
        <v>105</v>
      </c>
      <c r="B106" s="10" t="s">
        <v>423</v>
      </c>
      <c r="C106" s="18">
        <v>9.11</v>
      </c>
      <c r="D106" s="13">
        <v>1</v>
      </c>
      <c r="E106" s="18">
        <v>6.6</v>
      </c>
      <c r="F106" s="18">
        <v>9.1</v>
      </c>
      <c r="G106" s="18">
        <v>9.11</v>
      </c>
      <c r="T106" s="10"/>
    </row>
    <row r="107" spans="1:20" x14ac:dyDescent="0.25">
      <c r="A107">
        <v>106</v>
      </c>
      <c r="B107" s="10" t="s">
        <v>261</v>
      </c>
      <c r="C107" s="18">
        <v>9.1449999999999996</v>
      </c>
      <c r="D107" s="13">
        <v>1</v>
      </c>
      <c r="E107" s="18">
        <v>6.6</v>
      </c>
      <c r="F107" s="18">
        <v>9</v>
      </c>
      <c r="G107" s="18">
        <v>9.02</v>
      </c>
      <c r="T107" s="10"/>
    </row>
    <row r="108" spans="1:20" x14ac:dyDescent="0.25">
      <c r="A108">
        <v>107</v>
      </c>
      <c r="B108" t="s">
        <v>386</v>
      </c>
      <c r="C108" s="18">
        <v>9.0649999999999995</v>
      </c>
      <c r="D108" s="13">
        <v>1</v>
      </c>
      <c r="E108" s="18">
        <v>6.6</v>
      </c>
      <c r="F108" s="18">
        <v>8.9</v>
      </c>
      <c r="G108" s="18">
        <v>8.94</v>
      </c>
      <c r="T108" s="10"/>
    </row>
    <row r="109" spans="1:20" x14ac:dyDescent="0.25">
      <c r="A109">
        <v>108</v>
      </c>
      <c r="B109" s="10" t="s">
        <v>527</v>
      </c>
      <c r="C109" s="18">
        <v>9.0549999999999997</v>
      </c>
      <c r="D109" s="13">
        <v>1</v>
      </c>
      <c r="E109" s="18">
        <v>6.6</v>
      </c>
      <c r="F109" s="18">
        <v>8.9</v>
      </c>
      <c r="G109" s="18">
        <v>8.93</v>
      </c>
      <c r="T109" s="10"/>
    </row>
    <row r="110" spans="1:20" x14ac:dyDescent="0.25">
      <c r="A110">
        <v>109</v>
      </c>
      <c r="B110" t="s">
        <v>566</v>
      </c>
      <c r="C110" s="18">
        <v>9.09</v>
      </c>
      <c r="D110" s="13">
        <v>1</v>
      </c>
      <c r="E110" s="18">
        <v>6.6</v>
      </c>
      <c r="F110" s="18">
        <v>8.8000000000000007</v>
      </c>
      <c r="G110" s="18">
        <v>8.84</v>
      </c>
      <c r="T110" s="10"/>
    </row>
    <row r="111" spans="1:20" x14ac:dyDescent="0.25">
      <c r="A111">
        <v>110</v>
      </c>
      <c r="B111" t="s">
        <v>979</v>
      </c>
      <c r="C111" s="18">
        <v>9.0399999999999991</v>
      </c>
      <c r="D111" s="13">
        <v>1</v>
      </c>
      <c r="E111" s="18">
        <v>6.5</v>
      </c>
      <c r="F111" s="18">
        <v>9</v>
      </c>
      <c r="G111" s="18">
        <v>9.0399999999999991</v>
      </c>
      <c r="T111" s="10"/>
    </row>
    <row r="112" spans="1:20" x14ac:dyDescent="0.25">
      <c r="A112">
        <v>111</v>
      </c>
      <c r="B112" t="s">
        <v>275</v>
      </c>
      <c r="C112" s="18">
        <v>9.0299999999999994</v>
      </c>
      <c r="D112" s="13">
        <v>1</v>
      </c>
      <c r="E112" s="18">
        <v>6.5</v>
      </c>
      <c r="F112" s="18">
        <v>9</v>
      </c>
      <c r="G112" s="18">
        <v>9.0299999999999994</v>
      </c>
      <c r="T112" s="10"/>
    </row>
    <row r="113" spans="1:20" x14ac:dyDescent="0.25">
      <c r="A113">
        <v>112</v>
      </c>
      <c r="B113" t="s">
        <v>262</v>
      </c>
      <c r="C113" s="18">
        <v>9.02</v>
      </c>
      <c r="D113" s="13">
        <v>1</v>
      </c>
      <c r="E113" s="18">
        <v>6.5</v>
      </c>
      <c r="F113" s="18">
        <v>9</v>
      </c>
      <c r="G113" s="18">
        <v>9.02</v>
      </c>
      <c r="T113" s="10"/>
    </row>
    <row r="114" spans="1:20" x14ac:dyDescent="0.25">
      <c r="A114">
        <v>113</v>
      </c>
      <c r="B114" t="s">
        <v>83</v>
      </c>
      <c r="C114" s="18">
        <v>8.9600000000000009</v>
      </c>
      <c r="D114" s="13">
        <v>1</v>
      </c>
      <c r="E114" s="18">
        <v>6.5</v>
      </c>
      <c r="F114" s="18">
        <v>8.6999999999999993</v>
      </c>
      <c r="G114" s="18">
        <v>8.7100000000000009</v>
      </c>
      <c r="T114" s="10"/>
    </row>
    <row r="115" spans="1:20" x14ac:dyDescent="0.25">
      <c r="A115">
        <v>114</v>
      </c>
      <c r="B115" t="s">
        <v>72</v>
      </c>
      <c r="C115" s="18">
        <v>28.54</v>
      </c>
      <c r="D115" s="13">
        <v>4</v>
      </c>
      <c r="E115" s="18">
        <v>6.5</v>
      </c>
      <c r="F115" s="18">
        <v>6.5</v>
      </c>
      <c r="G115" s="18">
        <v>26.04</v>
      </c>
      <c r="T115" s="10"/>
    </row>
    <row r="116" spans="1:20" x14ac:dyDescent="0.25">
      <c r="A116">
        <v>115</v>
      </c>
      <c r="B116" s="10" t="s">
        <v>430</v>
      </c>
      <c r="C116" s="18">
        <v>22.009999999999998</v>
      </c>
      <c r="D116" s="13">
        <v>3</v>
      </c>
      <c r="E116" s="18">
        <v>6.5</v>
      </c>
      <c r="F116" s="18">
        <v>7.3</v>
      </c>
      <c r="G116" s="18">
        <v>21.759999999999998</v>
      </c>
      <c r="T116" s="10"/>
    </row>
    <row r="117" spans="1:20" x14ac:dyDescent="0.25">
      <c r="A117">
        <v>116</v>
      </c>
      <c r="B117" t="s">
        <v>426</v>
      </c>
      <c r="C117" s="18">
        <v>15.597999999999999</v>
      </c>
      <c r="D117" s="13">
        <v>2</v>
      </c>
      <c r="E117" s="18">
        <v>6.5</v>
      </c>
      <c r="F117" s="18">
        <v>7.5</v>
      </c>
      <c r="G117" s="18">
        <v>15.097999999999999</v>
      </c>
      <c r="T117" s="10"/>
    </row>
    <row r="118" spans="1:20" x14ac:dyDescent="0.25">
      <c r="A118">
        <v>117</v>
      </c>
      <c r="B118" t="s">
        <v>620</v>
      </c>
      <c r="C118" s="18">
        <v>15.265000000000001</v>
      </c>
      <c r="D118" s="13">
        <v>2</v>
      </c>
      <c r="E118" s="18">
        <v>6.4</v>
      </c>
      <c r="F118" s="18">
        <v>7.6</v>
      </c>
      <c r="G118" s="18">
        <v>15.14</v>
      </c>
      <c r="T118" s="5"/>
    </row>
    <row r="119" spans="1:20" x14ac:dyDescent="0.25">
      <c r="A119">
        <v>118</v>
      </c>
      <c r="B119" t="s">
        <v>387</v>
      </c>
      <c r="C119" s="18">
        <v>8.94</v>
      </c>
      <c r="D119" s="13">
        <v>1</v>
      </c>
      <c r="E119" s="18">
        <v>6.4</v>
      </c>
      <c r="F119" s="18">
        <v>8.9</v>
      </c>
      <c r="G119" s="18">
        <v>8.94</v>
      </c>
      <c r="T119" s="10"/>
    </row>
    <row r="120" spans="1:20" x14ac:dyDescent="0.25">
      <c r="A120">
        <v>119</v>
      </c>
      <c r="B120" t="s">
        <v>269</v>
      </c>
      <c r="C120" s="18">
        <v>8.92</v>
      </c>
      <c r="D120" s="13">
        <v>1</v>
      </c>
      <c r="E120" s="18">
        <v>6.4</v>
      </c>
      <c r="F120" s="18">
        <v>8.9</v>
      </c>
      <c r="G120" s="18">
        <v>8.92</v>
      </c>
      <c r="T120" s="10"/>
    </row>
    <row r="121" spans="1:20" x14ac:dyDescent="0.25">
      <c r="A121">
        <v>120</v>
      </c>
      <c r="B121" t="s">
        <v>284</v>
      </c>
      <c r="C121" s="18">
        <v>8.9350000000000005</v>
      </c>
      <c r="D121" s="4">
        <v>1</v>
      </c>
      <c r="E121" s="18">
        <v>6.4</v>
      </c>
      <c r="F121" s="18">
        <v>8.8000000000000007</v>
      </c>
      <c r="G121" s="18">
        <v>8.81</v>
      </c>
      <c r="T121" s="10"/>
    </row>
    <row r="122" spans="1:20" x14ac:dyDescent="0.25">
      <c r="A122">
        <v>121</v>
      </c>
      <c r="B122" t="s">
        <v>953</v>
      </c>
      <c r="C122" s="18">
        <v>8.8800000000000008</v>
      </c>
      <c r="D122" s="13">
        <v>1</v>
      </c>
      <c r="E122" s="18">
        <v>6.4</v>
      </c>
      <c r="F122" s="18">
        <v>8.6</v>
      </c>
      <c r="G122" s="18">
        <v>8.6300000000000008</v>
      </c>
      <c r="T122" s="10"/>
    </row>
    <row r="123" spans="1:20" x14ac:dyDescent="0.25">
      <c r="A123">
        <v>122</v>
      </c>
      <c r="B123" t="s">
        <v>320</v>
      </c>
      <c r="C123" s="18">
        <v>8.89</v>
      </c>
      <c r="D123" s="13">
        <v>1</v>
      </c>
      <c r="E123" s="18">
        <v>6.4</v>
      </c>
      <c r="F123" s="18">
        <v>8.1</v>
      </c>
      <c r="G123" s="18">
        <v>8.14</v>
      </c>
      <c r="T123" s="10"/>
    </row>
    <row r="124" spans="1:20" x14ac:dyDescent="0.25">
      <c r="A124">
        <v>123</v>
      </c>
      <c r="B124" t="s">
        <v>291</v>
      </c>
      <c r="C124" s="18">
        <v>8.8699999999999992</v>
      </c>
      <c r="D124" s="13">
        <v>1</v>
      </c>
      <c r="E124" s="18">
        <v>6.4</v>
      </c>
      <c r="F124" s="18">
        <v>8.1</v>
      </c>
      <c r="G124" s="18">
        <v>8.1199999999999992</v>
      </c>
      <c r="T124" s="5"/>
    </row>
    <row r="125" spans="1:20" x14ac:dyDescent="0.25">
      <c r="A125">
        <v>124</v>
      </c>
      <c r="B125" t="s">
        <v>173</v>
      </c>
      <c r="C125" s="18">
        <v>21.79</v>
      </c>
      <c r="D125" s="13">
        <v>3</v>
      </c>
      <c r="E125" s="18">
        <v>6.4</v>
      </c>
      <c r="F125" s="18">
        <v>7</v>
      </c>
      <c r="G125" s="18">
        <v>21.04</v>
      </c>
      <c r="T125" s="5"/>
    </row>
    <row r="126" spans="1:20" x14ac:dyDescent="0.25">
      <c r="A126">
        <v>125</v>
      </c>
      <c r="B126" t="s">
        <v>396</v>
      </c>
      <c r="C126" s="18">
        <v>21.52</v>
      </c>
      <c r="D126" s="13">
        <v>3</v>
      </c>
      <c r="E126" s="18">
        <v>6.3</v>
      </c>
      <c r="F126" s="18">
        <v>6.9</v>
      </c>
      <c r="G126" s="18">
        <v>20.77</v>
      </c>
      <c r="T126" s="10"/>
    </row>
    <row r="127" spans="1:20" x14ac:dyDescent="0.25">
      <c r="A127">
        <v>126</v>
      </c>
      <c r="B127" t="s">
        <v>285</v>
      </c>
      <c r="C127" s="18">
        <v>8.81</v>
      </c>
      <c r="D127" s="13">
        <v>1</v>
      </c>
      <c r="E127" s="18">
        <v>6.3</v>
      </c>
      <c r="F127" s="18">
        <v>8.8000000000000007</v>
      </c>
      <c r="G127" s="18">
        <v>8.81</v>
      </c>
      <c r="T127" s="10"/>
    </row>
    <row r="128" spans="1:20" x14ac:dyDescent="0.25">
      <c r="A128">
        <v>127</v>
      </c>
      <c r="B128" s="10" t="s">
        <v>267</v>
      </c>
      <c r="C128" s="18">
        <v>8.8450000000000006</v>
      </c>
      <c r="D128" s="13">
        <v>1</v>
      </c>
      <c r="E128" s="18">
        <v>6.3</v>
      </c>
      <c r="F128" s="18">
        <v>8.6999999999999993</v>
      </c>
      <c r="G128" s="18">
        <v>8.7200000000000006</v>
      </c>
      <c r="T128" s="5"/>
    </row>
    <row r="129" spans="1:20" x14ac:dyDescent="0.25">
      <c r="A129">
        <v>128</v>
      </c>
      <c r="B129" s="10" t="s">
        <v>952</v>
      </c>
      <c r="C129" s="18">
        <v>8.7550000000000008</v>
      </c>
      <c r="D129" s="4">
        <v>1</v>
      </c>
      <c r="E129" s="18">
        <v>6.3</v>
      </c>
      <c r="F129" s="18">
        <v>8.6</v>
      </c>
      <c r="G129" s="18">
        <v>8.6300000000000008</v>
      </c>
      <c r="T129" s="10"/>
    </row>
    <row r="130" spans="1:20" x14ac:dyDescent="0.25">
      <c r="A130">
        <v>129</v>
      </c>
      <c r="B130" s="10" t="s">
        <v>591</v>
      </c>
      <c r="C130" s="18">
        <v>8.7899999999999991</v>
      </c>
      <c r="D130" s="13">
        <v>1</v>
      </c>
      <c r="E130" s="18">
        <v>6.3</v>
      </c>
      <c r="F130" s="18">
        <v>8</v>
      </c>
      <c r="G130" s="18">
        <v>8.0399999999999991</v>
      </c>
      <c r="T130" s="10"/>
    </row>
    <row r="131" spans="1:20" x14ac:dyDescent="0.25">
      <c r="A131">
        <v>130</v>
      </c>
      <c r="B131" t="s">
        <v>420</v>
      </c>
      <c r="C131" s="18">
        <v>15.100000000000001</v>
      </c>
      <c r="D131" s="13">
        <v>2</v>
      </c>
      <c r="E131" s="18">
        <v>6.3</v>
      </c>
      <c r="F131" s="18">
        <v>7.2</v>
      </c>
      <c r="G131" s="18">
        <v>14.350000000000001</v>
      </c>
      <c r="T131" s="5"/>
    </row>
    <row r="132" spans="1:20" x14ac:dyDescent="0.25">
      <c r="A132">
        <v>131</v>
      </c>
      <c r="B132" t="s">
        <v>128</v>
      </c>
      <c r="C132" s="18">
        <v>27.449999999999996</v>
      </c>
      <c r="D132" s="4">
        <v>4</v>
      </c>
      <c r="E132" s="18">
        <v>6.2</v>
      </c>
      <c r="F132" s="18">
        <v>6.2</v>
      </c>
      <c r="G132" s="18">
        <v>24.949999999999996</v>
      </c>
      <c r="T132" s="5"/>
    </row>
    <row r="133" spans="1:20" x14ac:dyDescent="0.25">
      <c r="A133">
        <v>132</v>
      </c>
      <c r="B133" s="10" t="s">
        <v>132</v>
      </c>
      <c r="C133" s="18">
        <v>21.11</v>
      </c>
      <c r="D133" s="13">
        <v>3</v>
      </c>
      <c r="E133" s="18">
        <v>6.2</v>
      </c>
      <c r="F133" s="18">
        <v>6.8</v>
      </c>
      <c r="G133" s="18">
        <v>20.36</v>
      </c>
      <c r="T133" s="5"/>
    </row>
    <row r="134" spans="1:20" x14ac:dyDescent="0.25">
      <c r="A134">
        <v>133</v>
      </c>
      <c r="B134" t="s">
        <v>519</v>
      </c>
      <c r="C134" s="18">
        <v>8.73</v>
      </c>
      <c r="D134" s="4">
        <v>1</v>
      </c>
      <c r="E134" s="18">
        <v>6.2</v>
      </c>
      <c r="F134" s="18">
        <v>8.6999999999999993</v>
      </c>
      <c r="G134" s="18">
        <v>8.73</v>
      </c>
      <c r="T134" s="10"/>
    </row>
    <row r="135" spans="1:20" x14ac:dyDescent="0.25">
      <c r="A135">
        <v>134</v>
      </c>
      <c r="B135" s="5" t="s">
        <v>308</v>
      </c>
      <c r="C135" s="18">
        <v>8.7100000000000009</v>
      </c>
      <c r="D135" s="13">
        <v>1</v>
      </c>
      <c r="E135" s="18">
        <v>6.2</v>
      </c>
      <c r="F135" s="18">
        <v>8.6999999999999993</v>
      </c>
      <c r="G135" s="18">
        <v>8.7100000000000009</v>
      </c>
      <c r="T135" s="10"/>
    </row>
    <row r="136" spans="1:20" x14ac:dyDescent="0.25">
      <c r="A136">
        <v>135</v>
      </c>
      <c r="B136" t="s">
        <v>646</v>
      </c>
      <c r="C136" s="18">
        <v>8.7449999999999992</v>
      </c>
      <c r="D136" s="13">
        <v>1</v>
      </c>
      <c r="E136" s="18">
        <v>6.2</v>
      </c>
      <c r="F136" s="18">
        <v>8.6</v>
      </c>
      <c r="G136" s="18">
        <v>8.6199999999999992</v>
      </c>
      <c r="T136" s="10"/>
    </row>
    <row r="137" spans="1:20" x14ac:dyDescent="0.25">
      <c r="A137">
        <v>136</v>
      </c>
      <c r="B137" t="s">
        <v>276</v>
      </c>
      <c r="C137" s="18">
        <v>8.68</v>
      </c>
      <c r="D137" s="13">
        <v>1</v>
      </c>
      <c r="E137" s="18">
        <v>6.2</v>
      </c>
      <c r="F137" s="18">
        <v>8.4</v>
      </c>
      <c r="G137" s="18">
        <v>8.43</v>
      </c>
      <c r="T137" s="10"/>
    </row>
    <row r="138" spans="1:20" x14ac:dyDescent="0.25">
      <c r="A138">
        <v>137</v>
      </c>
      <c r="B138" s="10" t="s">
        <v>255</v>
      </c>
      <c r="C138" s="18">
        <v>8.66</v>
      </c>
      <c r="D138" s="13">
        <v>1</v>
      </c>
      <c r="E138" s="18">
        <v>6.2</v>
      </c>
      <c r="F138" s="18">
        <v>8.4</v>
      </c>
      <c r="G138" s="18">
        <v>8.41</v>
      </c>
      <c r="T138" s="10"/>
    </row>
    <row r="139" spans="1:20" x14ac:dyDescent="0.25">
      <c r="A139">
        <v>138</v>
      </c>
      <c r="B139" t="s">
        <v>824</v>
      </c>
      <c r="C139" s="18">
        <v>8.68</v>
      </c>
      <c r="D139" s="13">
        <v>1</v>
      </c>
      <c r="E139" s="18">
        <v>6.2</v>
      </c>
      <c r="F139" s="18">
        <v>7.9</v>
      </c>
      <c r="G139" s="18">
        <v>7.93</v>
      </c>
      <c r="T139" s="10"/>
    </row>
    <row r="140" spans="1:20" x14ac:dyDescent="0.25">
      <c r="A140">
        <v>139</v>
      </c>
      <c r="B140" t="s">
        <v>619</v>
      </c>
      <c r="C140" s="18">
        <v>14.82</v>
      </c>
      <c r="D140" s="13">
        <v>2</v>
      </c>
      <c r="E140" s="18">
        <v>6.2</v>
      </c>
      <c r="F140" s="18">
        <v>7.4</v>
      </c>
      <c r="G140" s="18">
        <v>14.82</v>
      </c>
      <c r="T140" s="10"/>
    </row>
    <row r="141" spans="1:20" x14ac:dyDescent="0.25">
      <c r="A141">
        <v>140</v>
      </c>
      <c r="B141" t="s">
        <v>214</v>
      </c>
      <c r="C141" s="18">
        <v>14.870000000000001</v>
      </c>
      <c r="D141" s="13">
        <v>2</v>
      </c>
      <c r="E141" s="18">
        <v>6.2</v>
      </c>
      <c r="F141" s="18">
        <v>7.2</v>
      </c>
      <c r="G141" s="18">
        <v>14.370000000000001</v>
      </c>
      <c r="T141" s="10"/>
    </row>
    <row r="142" spans="1:20" x14ac:dyDescent="0.25">
      <c r="A142">
        <v>141</v>
      </c>
      <c r="B142" s="10" t="s">
        <v>78</v>
      </c>
      <c r="C142" s="18">
        <v>14.83</v>
      </c>
      <c r="D142" s="13">
        <v>2</v>
      </c>
      <c r="E142" s="18">
        <v>6.2</v>
      </c>
      <c r="F142" s="18">
        <v>6.7</v>
      </c>
      <c r="G142" s="18">
        <v>13.33</v>
      </c>
      <c r="T142" s="10"/>
    </row>
    <row r="143" spans="1:20" x14ac:dyDescent="0.25">
      <c r="A143">
        <v>142</v>
      </c>
      <c r="B143" t="s">
        <v>647</v>
      </c>
      <c r="C143" s="18">
        <v>8.6199999999999992</v>
      </c>
      <c r="D143" s="13">
        <v>1</v>
      </c>
      <c r="E143" s="18">
        <v>6.1</v>
      </c>
      <c r="F143" s="18">
        <v>8.6</v>
      </c>
      <c r="G143" s="18">
        <v>8.6199999999999992</v>
      </c>
      <c r="T143" s="10"/>
    </row>
    <row r="144" spans="1:20" x14ac:dyDescent="0.25">
      <c r="A144">
        <v>143</v>
      </c>
      <c r="B144" t="s">
        <v>557</v>
      </c>
      <c r="C144" s="18">
        <v>8.61</v>
      </c>
      <c r="D144" s="13">
        <v>1</v>
      </c>
      <c r="E144" s="18">
        <v>6.1</v>
      </c>
      <c r="F144" s="18">
        <v>8.6</v>
      </c>
      <c r="G144" s="18">
        <v>8.61</v>
      </c>
      <c r="T144" s="5"/>
    </row>
    <row r="145" spans="1:20" x14ac:dyDescent="0.25">
      <c r="A145">
        <v>144</v>
      </c>
      <c r="B145" t="s">
        <v>246</v>
      </c>
      <c r="C145" s="18">
        <v>8.6449999999999996</v>
      </c>
      <c r="D145" s="13">
        <v>1</v>
      </c>
      <c r="E145" s="18">
        <v>6.1</v>
      </c>
      <c r="F145" s="18">
        <v>8.5</v>
      </c>
      <c r="G145" s="18">
        <v>8.52</v>
      </c>
      <c r="T145" s="10"/>
    </row>
    <row r="146" spans="1:20" x14ac:dyDescent="0.25">
      <c r="A146">
        <v>145</v>
      </c>
      <c r="B146" t="s">
        <v>281</v>
      </c>
      <c r="C146" s="18">
        <v>8.6349999999999998</v>
      </c>
      <c r="D146" s="13">
        <v>1</v>
      </c>
      <c r="E146" s="18">
        <v>6.1</v>
      </c>
      <c r="F146" s="18">
        <v>8.5</v>
      </c>
      <c r="G146" s="18">
        <v>8.51</v>
      </c>
      <c r="T146" s="10"/>
    </row>
    <row r="147" spans="1:20" x14ac:dyDescent="0.25">
      <c r="A147">
        <v>146</v>
      </c>
      <c r="B147" s="10" t="s">
        <v>277</v>
      </c>
      <c r="C147" s="18">
        <v>8.5549999999999997</v>
      </c>
      <c r="D147" s="13">
        <v>1</v>
      </c>
      <c r="E147" s="18">
        <v>6.1</v>
      </c>
      <c r="F147" s="18">
        <v>8.4</v>
      </c>
      <c r="G147" s="18">
        <v>8.43</v>
      </c>
      <c r="T147" s="5"/>
    </row>
    <row r="148" spans="1:20" x14ac:dyDescent="0.25">
      <c r="A148">
        <v>147</v>
      </c>
      <c r="B148" t="s">
        <v>846</v>
      </c>
      <c r="C148" s="18">
        <v>8.56</v>
      </c>
      <c r="D148" s="13">
        <v>1</v>
      </c>
      <c r="E148" s="18">
        <v>6.1</v>
      </c>
      <c r="F148" s="18">
        <v>8.3000000000000007</v>
      </c>
      <c r="G148" s="18">
        <v>8.31</v>
      </c>
      <c r="T148" s="10"/>
    </row>
    <row r="149" spans="1:20" x14ac:dyDescent="0.25">
      <c r="A149">
        <v>148</v>
      </c>
      <c r="B149" s="10" t="s">
        <v>109</v>
      </c>
      <c r="C149" s="18">
        <v>26.824999999999996</v>
      </c>
      <c r="D149" s="13">
        <v>4</v>
      </c>
      <c r="E149" s="18">
        <v>6.1</v>
      </c>
      <c r="F149" s="18">
        <v>6.4</v>
      </c>
      <c r="G149" s="18">
        <v>25.699999999999996</v>
      </c>
      <c r="T149" s="5"/>
    </row>
    <row r="150" spans="1:20" x14ac:dyDescent="0.25">
      <c r="A150">
        <v>149</v>
      </c>
      <c r="B150" t="s">
        <v>217</v>
      </c>
      <c r="C150" s="18">
        <v>14.69</v>
      </c>
      <c r="D150" s="13">
        <v>2</v>
      </c>
      <c r="E150" s="18">
        <v>6.1</v>
      </c>
      <c r="F150" s="18">
        <v>7.2</v>
      </c>
      <c r="G150" s="18">
        <v>14.44</v>
      </c>
      <c r="T150" s="5"/>
    </row>
    <row r="151" spans="1:20" x14ac:dyDescent="0.25">
      <c r="A151">
        <v>150</v>
      </c>
      <c r="B151" t="s">
        <v>623</v>
      </c>
      <c r="C151" s="18">
        <v>14.549999999999999</v>
      </c>
      <c r="D151" s="13">
        <v>2</v>
      </c>
      <c r="E151" s="18">
        <v>6</v>
      </c>
      <c r="F151" s="18">
        <v>7.3</v>
      </c>
      <c r="G151" s="18">
        <v>14.549999999999999</v>
      </c>
      <c r="T151" s="10"/>
    </row>
    <row r="152" spans="1:20" x14ac:dyDescent="0.25">
      <c r="A152">
        <v>151</v>
      </c>
      <c r="B152" s="10" t="s">
        <v>247</v>
      </c>
      <c r="C152" s="18">
        <v>8.52</v>
      </c>
      <c r="D152" s="13">
        <v>1</v>
      </c>
      <c r="E152" s="18">
        <v>6</v>
      </c>
      <c r="F152" s="18">
        <v>8.5</v>
      </c>
      <c r="G152" s="18">
        <v>8.52</v>
      </c>
      <c r="T152" s="5"/>
    </row>
    <row r="153" spans="1:20" x14ac:dyDescent="0.25">
      <c r="A153">
        <v>152</v>
      </c>
      <c r="B153" t="s">
        <v>699</v>
      </c>
      <c r="C153" s="18">
        <v>8.5449999999999999</v>
      </c>
      <c r="D153" s="13">
        <v>1</v>
      </c>
      <c r="E153" s="18">
        <v>6</v>
      </c>
      <c r="F153" s="18">
        <v>8.4</v>
      </c>
      <c r="G153" s="18">
        <v>8.42</v>
      </c>
      <c r="T153" s="10"/>
    </row>
    <row r="154" spans="1:20" x14ac:dyDescent="0.25">
      <c r="A154">
        <v>153</v>
      </c>
      <c r="B154" t="s">
        <v>256</v>
      </c>
      <c r="C154" s="18">
        <v>8.5350000000000001</v>
      </c>
      <c r="D154" s="13">
        <v>1</v>
      </c>
      <c r="E154" s="18">
        <v>6</v>
      </c>
      <c r="F154" s="18">
        <v>8.4</v>
      </c>
      <c r="G154" s="18">
        <v>8.41</v>
      </c>
      <c r="T154" s="10"/>
    </row>
    <row r="155" spans="1:20" x14ac:dyDescent="0.25">
      <c r="A155">
        <v>154</v>
      </c>
      <c r="B155" t="s">
        <v>472</v>
      </c>
      <c r="C155" s="18">
        <v>8.4550000000000001</v>
      </c>
      <c r="D155" s="13">
        <v>1</v>
      </c>
      <c r="E155" s="18">
        <v>6</v>
      </c>
      <c r="F155" s="18">
        <v>8.3000000000000007</v>
      </c>
      <c r="G155" s="18">
        <v>8.33</v>
      </c>
      <c r="T155" s="10"/>
    </row>
    <row r="156" spans="1:20" x14ac:dyDescent="0.25">
      <c r="A156">
        <v>155</v>
      </c>
      <c r="B156" t="s">
        <v>830</v>
      </c>
      <c r="C156" s="18">
        <v>8.49</v>
      </c>
      <c r="D156" s="13">
        <v>1</v>
      </c>
      <c r="E156" s="18">
        <v>6</v>
      </c>
      <c r="F156" s="18">
        <v>8.1999999999999993</v>
      </c>
      <c r="G156" s="18">
        <v>8.24</v>
      </c>
      <c r="T156" s="10"/>
    </row>
    <row r="157" spans="1:20" x14ac:dyDescent="0.25">
      <c r="A157">
        <v>156</v>
      </c>
      <c r="B157" s="5" t="s">
        <v>531</v>
      </c>
      <c r="C157" s="18">
        <v>8.4600000000000009</v>
      </c>
      <c r="D157" s="13">
        <v>1</v>
      </c>
      <c r="E157" s="18">
        <v>6</v>
      </c>
      <c r="F157" s="18">
        <v>8.1999999999999993</v>
      </c>
      <c r="G157" s="18">
        <v>8.2100000000000009</v>
      </c>
      <c r="T157" s="10"/>
    </row>
    <row r="158" spans="1:20" x14ac:dyDescent="0.25">
      <c r="A158">
        <v>157</v>
      </c>
      <c r="B158" t="s">
        <v>108</v>
      </c>
      <c r="C158" s="18">
        <v>14.469999999999999</v>
      </c>
      <c r="D158" s="13">
        <v>2</v>
      </c>
      <c r="E158" s="18">
        <v>6</v>
      </c>
      <c r="F158" s="18">
        <v>7</v>
      </c>
      <c r="G158" s="18">
        <v>13.969999999999999</v>
      </c>
      <c r="T158" s="10"/>
    </row>
    <row r="159" spans="1:20" x14ac:dyDescent="0.25">
      <c r="A159">
        <v>158</v>
      </c>
      <c r="B159" t="s">
        <v>474</v>
      </c>
      <c r="C159" s="18">
        <v>8.4699999999999989</v>
      </c>
      <c r="D159" s="13">
        <v>1</v>
      </c>
      <c r="E159" s="18">
        <v>6</v>
      </c>
      <c r="F159" s="18">
        <v>7.7</v>
      </c>
      <c r="G159" s="18">
        <v>7.72</v>
      </c>
      <c r="T159" s="5"/>
    </row>
    <row r="160" spans="1:20" x14ac:dyDescent="0.25">
      <c r="A160">
        <v>159</v>
      </c>
      <c r="B160" t="s">
        <v>526</v>
      </c>
      <c r="C160" s="18">
        <v>14.23</v>
      </c>
      <c r="D160" s="13">
        <v>2</v>
      </c>
      <c r="E160" s="18">
        <v>5.9</v>
      </c>
      <c r="F160" s="18">
        <v>6.4</v>
      </c>
      <c r="G160" s="18">
        <v>12.73</v>
      </c>
      <c r="T160" s="10"/>
    </row>
    <row r="161" spans="1:20" x14ac:dyDescent="0.25">
      <c r="A161">
        <v>160</v>
      </c>
      <c r="B161" t="s">
        <v>539</v>
      </c>
      <c r="C161" s="18">
        <v>14.219999999999999</v>
      </c>
      <c r="D161" s="13">
        <v>2</v>
      </c>
      <c r="E161" s="18">
        <v>5.9</v>
      </c>
      <c r="F161" s="18">
        <v>6.6</v>
      </c>
      <c r="G161" s="18">
        <v>13.219999999999999</v>
      </c>
      <c r="T161" s="5"/>
    </row>
    <row r="162" spans="1:20" x14ac:dyDescent="0.25">
      <c r="A162">
        <v>161</v>
      </c>
      <c r="B162" t="s">
        <v>278</v>
      </c>
      <c r="C162" s="18">
        <v>8.43</v>
      </c>
      <c r="D162" s="13">
        <v>1</v>
      </c>
      <c r="E162" s="18">
        <v>5.9</v>
      </c>
      <c r="F162" s="18">
        <v>8.4</v>
      </c>
      <c r="G162" s="18">
        <v>8.43</v>
      </c>
      <c r="T162" s="5"/>
    </row>
    <row r="163" spans="1:20" x14ac:dyDescent="0.25">
      <c r="A163">
        <v>162</v>
      </c>
      <c r="B163" s="10" t="s">
        <v>702</v>
      </c>
      <c r="C163" s="18">
        <v>8.42</v>
      </c>
      <c r="D163" s="13">
        <v>1</v>
      </c>
      <c r="E163" s="18">
        <v>5.9</v>
      </c>
      <c r="F163" s="18">
        <v>8.4</v>
      </c>
      <c r="G163" s="18">
        <v>8.42</v>
      </c>
      <c r="T163" s="10"/>
    </row>
    <row r="164" spans="1:20" x14ac:dyDescent="0.25">
      <c r="A164">
        <v>163</v>
      </c>
      <c r="B164" s="10" t="s">
        <v>257</v>
      </c>
      <c r="C164" s="18">
        <v>8.41</v>
      </c>
      <c r="D164" s="13">
        <v>1</v>
      </c>
      <c r="E164" s="18">
        <v>5.9</v>
      </c>
      <c r="F164" s="18">
        <v>8.4</v>
      </c>
      <c r="G164" s="18">
        <v>8.41</v>
      </c>
      <c r="T164" s="10"/>
    </row>
    <row r="165" spans="1:20" x14ac:dyDescent="0.25">
      <c r="A165">
        <v>164</v>
      </c>
      <c r="B165" t="s">
        <v>604</v>
      </c>
      <c r="C165" s="18">
        <v>8.4450000000000003</v>
      </c>
      <c r="D165" s="4">
        <v>1</v>
      </c>
      <c r="E165" s="18">
        <v>5.9</v>
      </c>
      <c r="F165" s="18">
        <v>8.3000000000000007</v>
      </c>
      <c r="G165" s="18">
        <v>8.32</v>
      </c>
      <c r="T165" s="5"/>
    </row>
    <row r="166" spans="1:20" x14ac:dyDescent="0.25">
      <c r="A166">
        <v>165</v>
      </c>
      <c r="B166" t="s">
        <v>939</v>
      </c>
      <c r="C166" s="18">
        <v>8.3650000000000002</v>
      </c>
      <c r="D166" s="13">
        <v>1</v>
      </c>
      <c r="E166" s="18">
        <v>5.9</v>
      </c>
      <c r="F166" s="18">
        <v>8.1999999999999993</v>
      </c>
      <c r="G166" s="18">
        <v>8.24</v>
      </c>
      <c r="T166" s="10"/>
    </row>
    <row r="167" spans="1:20" x14ac:dyDescent="0.25">
      <c r="A167">
        <v>166</v>
      </c>
      <c r="B167" t="s">
        <v>321</v>
      </c>
      <c r="C167" s="18">
        <v>8.39</v>
      </c>
      <c r="D167" s="13">
        <v>1</v>
      </c>
      <c r="E167" s="18">
        <v>5.9</v>
      </c>
      <c r="F167" s="18">
        <v>8.1</v>
      </c>
      <c r="G167" s="18">
        <v>8.14</v>
      </c>
      <c r="T167" s="5"/>
    </row>
    <row r="168" spans="1:20" x14ac:dyDescent="0.25">
      <c r="A168">
        <v>167</v>
      </c>
      <c r="B168" t="s">
        <v>943</v>
      </c>
      <c r="C168" s="18">
        <v>8.3800000000000008</v>
      </c>
      <c r="D168" s="13">
        <v>1</v>
      </c>
      <c r="E168" s="18">
        <v>5.9</v>
      </c>
      <c r="F168" s="18">
        <v>8.1</v>
      </c>
      <c r="G168" s="18">
        <v>8.1300000000000008</v>
      </c>
      <c r="T168" s="10"/>
    </row>
    <row r="169" spans="1:20" x14ac:dyDescent="0.25">
      <c r="A169">
        <v>168</v>
      </c>
      <c r="B169" t="s">
        <v>292</v>
      </c>
      <c r="C169" s="18">
        <v>8.3699999999999992</v>
      </c>
      <c r="D169" s="4">
        <v>1</v>
      </c>
      <c r="E169" s="18">
        <v>5.9</v>
      </c>
      <c r="F169" s="18">
        <v>8.1</v>
      </c>
      <c r="G169" s="18">
        <v>8.1199999999999992</v>
      </c>
      <c r="T169" s="10"/>
    </row>
    <row r="170" spans="1:20" x14ac:dyDescent="0.25">
      <c r="A170">
        <v>169</v>
      </c>
      <c r="B170" t="s">
        <v>569</v>
      </c>
      <c r="C170" s="18">
        <v>8.39</v>
      </c>
      <c r="D170" s="13">
        <v>1</v>
      </c>
      <c r="E170" s="18">
        <v>5.9</v>
      </c>
      <c r="F170" s="18">
        <v>7.6</v>
      </c>
      <c r="G170" s="18">
        <v>7.64</v>
      </c>
      <c r="T170" s="10"/>
    </row>
    <row r="171" spans="1:20" x14ac:dyDescent="0.25">
      <c r="A171">
        <v>170</v>
      </c>
      <c r="B171" t="s">
        <v>287</v>
      </c>
      <c r="C171" s="18">
        <v>14.375</v>
      </c>
      <c r="D171" s="13">
        <v>2</v>
      </c>
      <c r="E171" s="18">
        <v>5.9</v>
      </c>
      <c r="F171" s="18">
        <v>7.1</v>
      </c>
      <c r="G171" s="18">
        <v>14.25</v>
      </c>
      <c r="T171" s="10"/>
    </row>
    <row r="172" spans="1:20" x14ac:dyDescent="0.25">
      <c r="A172">
        <v>171</v>
      </c>
      <c r="B172" s="10" t="s">
        <v>738</v>
      </c>
      <c r="C172" s="18">
        <v>8.370000000000001</v>
      </c>
      <c r="D172" s="13">
        <v>1</v>
      </c>
      <c r="E172" s="18">
        <v>5.9</v>
      </c>
      <c r="F172" s="18">
        <v>7.6</v>
      </c>
      <c r="G172" s="18">
        <v>7.62</v>
      </c>
      <c r="T172" s="10"/>
    </row>
    <row r="173" spans="1:20" x14ac:dyDescent="0.25">
      <c r="A173">
        <v>172</v>
      </c>
      <c r="B173" t="s">
        <v>508</v>
      </c>
      <c r="C173" s="18">
        <v>8.36</v>
      </c>
      <c r="D173" s="13">
        <v>1</v>
      </c>
      <c r="E173" s="18">
        <v>5.9</v>
      </c>
      <c r="F173" s="18">
        <v>7.6</v>
      </c>
      <c r="G173" s="18">
        <v>7.61</v>
      </c>
      <c r="T173" s="10"/>
    </row>
    <row r="174" spans="1:20" x14ac:dyDescent="0.25">
      <c r="A174">
        <v>173</v>
      </c>
      <c r="B174" t="s">
        <v>375</v>
      </c>
      <c r="C174" s="18">
        <v>14.359</v>
      </c>
      <c r="D174" s="13">
        <v>2</v>
      </c>
      <c r="E174" s="18">
        <v>5.9</v>
      </c>
      <c r="F174" s="18">
        <v>6.7</v>
      </c>
      <c r="G174" s="18">
        <v>13.359</v>
      </c>
      <c r="T174" s="10"/>
    </row>
    <row r="175" spans="1:20" x14ac:dyDescent="0.25">
      <c r="A175">
        <v>174</v>
      </c>
      <c r="B175" s="10" t="s">
        <v>215</v>
      </c>
      <c r="C175" s="18">
        <v>14.370000000000001</v>
      </c>
      <c r="D175" s="13">
        <v>2</v>
      </c>
      <c r="E175" s="18">
        <v>5.9</v>
      </c>
      <c r="F175" s="18">
        <v>7.2</v>
      </c>
      <c r="G175" s="18">
        <v>14.370000000000001</v>
      </c>
      <c r="T175" s="10"/>
    </row>
    <row r="176" spans="1:20" x14ac:dyDescent="0.25">
      <c r="A176">
        <v>175</v>
      </c>
      <c r="B176" t="s">
        <v>949</v>
      </c>
      <c r="C176" s="18">
        <v>14.25</v>
      </c>
      <c r="D176" s="13">
        <v>2</v>
      </c>
      <c r="E176" s="18">
        <v>5.9</v>
      </c>
      <c r="F176" s="18">
        <v>6.9</v>
      </c>
      <c r="G176" s="18">
        <v>13.75</v>
      </c>
      <c r="T176" s="10"/>
    </row>
    <row r="177" spans="1:20" x14ac:dyDescent="0.25">
      <c r="A177">
        <v>176</v>
      </c>
      <c r="B177" t="s">
        <v>473</v>
      </c>
      <c r="C177" s="18">
        <v>8.33</v>
      </c>
      <c r="D177" s="13">
        <v>1</v>
      </c>
      <c r="E177" s="18">
        <v>5.8</v>
      </c>
      <c r="F177" s="18">
        <v>8.3000000000000007</v>
      </c>
      <c r="G177" s="18">
        <v>8.33</v>
      </c>
      <c r="T177" s="10"/>
    </row>
    <row r="178" spans="1:20" x14ac:dyDescent="0.25">
      <c r="A178">
        <v>177</v>
      </c>
      <c r="B178" t="s">
        <v>605</v>
      </c>
      <c r="C178" s="18">
        <v>8.32</v>
      </c>
      <c r="D178" s="13">
        <v>1</v>
      </c>
      <c r="E178" s="18">
        <v>5.8</v>
      </c>
      <c r="F178" s="18">
        <v>8.3000000000000007</v>
      </c>
      <c r="G178" s="18">
        <v>8.32</v>
      </c>
      <c r="T178" s="5"/>
    </row>
    <row r="179" spans="1:20" x14ac:dyDescent="0.25">
      <c r="A179">
        <v>178</v>
      </c>
      <c r="B179" t="s">
        <v>300</v>
      </c>
      <c r="C179" s="18">
        <v>8.3450000000000006</v>
      </c>
      <c r="D179" s="13">
        <v>1</v>
      </c>
      <c r="E179" s="18">
        <v>5.8</v>
      </c>
      <c r="F179" s="18">
        <v>8.1999999999999993</v>
      </c>
      <c r="G179" s="18">
        <v>8.2200000000000006</v>
      </c>
      <c r="T179" s="10"/>
    </row>
    <row r="180" spans="1:20" x14ac:dyDescent="0.25">
      <c r="A180">
        <v>179</v>
      </c>
      <c r="B180" t="s">
        <v>532</v>
      </c>
      <c r="C180" s="18">
        <v>8.3350000000000009</v>
      </c>
      <c r="D180" s="13">
        <v>1</v>
      </c>
      <c r="E180" s="18">
        <v>5.8</v>
      </c>
      <c r="F180" s="18">
        <v>8.1999999999999993</v>
      </c>
      <c r="G180" s="18">
        <v>8.2100000000000009</v>
      </c>
      <c r="T180" s="10"/>
    </row>
    <row r="181" spans="1:20" x14ac:dyDescent="0.25">
      <c r="A181">
        <v>180</v>
      </c>
      <c r="B181" t="s">
        <v>322</v>
      </c>
      <c r="C181" s="18">
        <v>8.2650000000000006</v>
      </c>
      <c r="D181" s="13">
        <v>1</v>
      </c>
      <c r="E181" s="18">
        <v>5.8</v>
      </c>
      <c r="F181" s="18">
        <v>8.1</v>
      </c>
      <c r="G181" s="18">
        <v>8.14</v>
      </c>
      <c r="T181" s="10"/>
    </row>
    <row r="182" spans="1:20" x14ac:dyDescent="0.25">
      <c r="A182">
        <v>181</v>
      </c>
      <c r="B182" t="s">
        <v>393</v>
      </c>
      <c r="C182" s="18">
        <v>14.065</v>
      </c>
      <c r="D182" s="13">
        <v>2</v>
      </c>
      <c r="E182" s="18">
        <v>5.8</v>
      </c>
      <c r="F182" s="18">
        <v>7</v>
      </c>
      <c r="G182" s="18">
        <v>13.94</v>
      </c>
      <c r="T182" s="10"/>
    </row>
    <row r="183" spans="1:20" x14ac:dyDescent="0.25">
      <c r="A183">
        <v>182</v>
      </c>
      <c r="B183" s="5" t="s">
        <v>592</v>
      </c>
      <c r="C183" s="18">
        <v>8.2899999999999991</v>
      </c>
      <c r="D183" s="13">
        <v>1</v>
      </c>
      <c r="E183" s="18">
        <v>5.8</v>
      </c>
      <c r="F183" s="18">
        <v>8</v>
      </c>
      <c r="G183" s="18">
        <v>8.0399999999999991</v>
      </c>
      <c r="T183" s="10"/>
    </row>
    <row r="184" spans="1:20" x14ac:dyDescent="0.25">
      <c r="A184">
        <v>183</v>
      </c>
      <c r="B184" s="10" t="s">
        <v>836</v>
      </c>
      <c r="C184" s="18">
        <v>8.27</v>
      </c>
      <c r="D184" s="13">
        <v>1</v>
      </c>
      <c r="E184" s="18">
        <v>5.8</v>
      </c>
      <c r="F184" s="18">
        <v>8</v>
      </c>
      <c r="G184" s="18">
        <v>8.02</v>
      </c>
      <c r="T184" s="10"/>
    </row>
    <row r="185" spans="1:20" x14ac:dyDescent="0.25">
      <c r="A185">
        <v>184</v>
      </c>
      <c r="B185" s="5" t="s">
        <v>370</v>
      </c>
      <c r="C185" s="18">
        <v>8.2800000000000011</v>
      </c>
      <c r="D185" s="13">
        <v>1</v>
      </c>
      <c r="E185" s="18">
        <v>5.8</v>
      </c>
      <c r="F185" s="18">
        <v>7.5</v>
      </c>
      <c r="G185" s="18">
        <v>7.53</v>
      </c>
      <c r="T185" s="10"/>
    </row>
    <row r="186" spans="1:20" x14ac:dyDescent="0.25">
      <c r="A186">
        <v>185</v>
      </c>
      <c r="B186" t="s">
        <v>313</v>
      </c>
      <c r="C186" s="18">
        <v>8.25</v>
      </c>
      <c r="D186" s="13">
        <v>1</v>
      </c>
      <c r="E186" s="18">
        <v>5.8</v>
      </c>
      <c r="F186" s="18">
        <v>7.5</v>
      </c>
      <c r="G186" s="18">
        <v>7.5</v>
      </c>
      <c r="T186" s="5"/>
    </row>
    <row r="187" spans="1:20" x14ac:dyDescent="0.25">
      <c r="A187">
        <v>186</v>
      </c>
      <c r="B187" t="s">
        <v>429</v>
      </c>
      <c r="C187" s="18">
        <v>14.004999999999999</v>
      </c>
      <c r="D187" s="13">
        <v>2</v>
      </c>
      <c r="E187" s="18">
        <v>5.8</v>
      </c>
      <c r="F187" s="18">
        <v>6.6</v>
      </c>
      <c r="G187" s="18">
        <v>13.129999999999999</v>
      </c>
      <c r="T187" s="10"/>
    </row>
    <row r="188" spans="1:20" x14ac:dyDescent="0.25">
      <c r="A188">
        <v>187</v>
      </c>
      <c r="B188" s="10" t="s">
        <v>301</v>
      </c>
      <c r="C188" s="18">
        <v>8.2200000000000006</v>
      </c>
      <c r="D188" s="13">
        <v>1</v>
      </c>
      <c r="E188" s="18">
        <v>5.7</v>
      </c>
      <c r="F188" s="18">
        <v>8.1999999999999993</v>
      </c>
      <c r="G188" s="18">
        <v>8.2200000000000006</v>
      </c>
      <c r="T188" s="8"/>
    </row>
    <row r="189" spans="1:20" x14ac:dyDescent="0.25">
      <c r="A189">
        <v>188</v>
      </c>
      <c r="B189" t="s">
        <v>809</v>
      </c>
      <c r="C189" s="18">
        <v>8.2200000000000006</v>
      </c>
      <c r="D189" s="13">
        <v>1</v>
      </c>
      <c r="E189" s="18">
        <v>5.7</v>
      </c>
      <c r="F189" s="18">
        <v>8.1999999999999993</v>
      </c>
      <c r="G189" s="18">
        <v>8.2200000000000006</v>
      </c>
      <c r="T189" s="5"/>
    </row>
    <row r="190" spans="1:20" x14ac:dyDescent="0.25">
      <c r="A190">
        <v>189</v>
      </c>
      <c r="B190" s="10" t="s">
        <v>533</v>
      </c>
      <c r="C190" s="18">
        <v>8.2100000000000009</v>
      </c>
      <c r="D190" s="13">
        <v>1</v>
      </c>
      <c r="E190" s="18">
        <v>5.7</v>
      </c>
      <c r="F190" s="18">
        <v>8.1999999999999993</v>
      </c>
      <c r="G190" s="18">
        <v>8.2100000000000009</v>
      </c>
      <c r="T190" s="10"/>
    </row>
    <row r="191" spans="1:20" x14ac:dyDescent="0.25">
      <c r="A191">
        <v>190</v>
      </c>
      <c r="B191" s="10" t="s">
        <v>293</v>
      </c>
      <c r="C191" s="18">
        <v>8.2449999999999992</v>
      </c>
      <c r="D191" s="13">
        <v>1</v>
      </c>
      <c r="E191" s="18">
        <v>5.7</v>
      </c>
      <c r="F191" s="18">
        <v>8.1</v>
      </c>
      <c r="G191" s="18">
        <v>8.1199999999999992</v>
      </c>
      <c r="T191" s="10"/>
    </row>
    <row r="192" spans="1:20" x14ac:dyDescent="0.25">
      <c r="A192">
        <v>191</v>
      </c>
      <c r="B192" t="s">
        <v>593</v>
      </c>
      <c r="C192" s="18">
        <v>8.1649999999999991</v>
      </c>
      <c r="D192" s="13">
        <v>1</v>
      </c>
      <c r="E192" s="18">
        <v>5.7</v>
      </c>
      <c r="F192" s="18">
        <v>8</v>
      </c>
      <c r="G192" s="18">
        <v>8.0399999999999991</v>
      </c>
      <c r="T192" s="10"/>
    </row>
    <row r="193" spans="1:20" x14ac:dyDescent="0.25">
      <c r="A193">
        <v>192</v>
      </c>
      <c r="B193" t="s">
        <v>53</v>
      </c>
      <c r="C193" s="18">
        <v>8.1549999999999994</v>
      </c>
      <c r="D193" s="13">
        <v>1</v>
      </c>
      <c r="E193" s="18">
        <v>5.7</v>
      </c>
      <c r="F193" s="18">
        <v>8</v>
      </c>
      <c r="G193" s="18">
        <v>8.0299999999999994</v>
      </c>
      <c r="T193" s="10"/>
    </row>
    <row r="194" spans="1:20" x14ac:dyDescent="0.25">
      <c r="A194">
        <v>193</v>
      </c>
      <c r="B194" t="s">
        <v>984</v>
      </c>
      <c r="C194" s="18">
        <v>8.16</v>
      </c>
      <c r="D194" s="13">
        <v>1</v>
      </c>
      <c r="E194" s="18">
        <v>5.7</v>
      </c>
      <c r="F194" s="18">
        <v>7.9</v>
      </c>
      <c r="G194" s="18">
        <v>7.91</v>
      </c>
      <c r="T194" s="10"/>
    </row>
    <row r="195" spans="1:20" x14ac:dyDescent="0.25">
      <c r="A195">
        <v>194</v>
      </c>
      <c r="B195" s="10" t="s">
        <v>110</v>
      </c>
      <c r="C195" s="18">
        <v>19.729999999999997</v>
      </c>
      <c r="D195" s="13">
        <v>3</v>
      </c>
      <c r="E195" s="18">
        <v>5.7</v>
      </c>
      <c r="F195" s="18">
        <v>6.5</v>
      </c>
      <c r="G195" s="18">
        <v>19.479999999999997</v>
      </c>
      <c r="T195" s="10"/>
    </row>
    <row r="196" spans="1:20" x14ac:dyDescent="0.25">
      <c r="A196">
        <v>195</v>
      </c>
      <c r="B196" s="10" t="s">
        <v>159</v>
      </c>
      <c r="C196" s="18">
        <v>19.690000000000001</v>
      </c>
      <c r="D196" s="13">
        <v>3</v>
      </c>
      <c r="E196" s="18">
        <v>5.7</v>
      </c>
      <c r="F196" s="18">
        <v>6.3</v>
      </c>
      <c r="G196" s="18">
        <v>18.940000000000001</v>
      </c>
      <c r="T196" s="5"/>
    </row>
    <row r="197" spans="1:20" x14ac:dyDescent="0.25">
      <c r="A197">
        <v>196</v>
      </c>
      <c r="B197" s="10" t="s">
        <v>723</v>
      </c>
      <c r="C197" s="18">
        <v>8.17</v>
      </c>
      <c r="D197" s="13">
        <v>1</v>
      </c>
      <c r="E197" s="18">
        <v>5.7</v>
      </c>
      <c r="F197" s="18">
        <v>7.4</v>
      </c>
      <c r="G197" s="18">
        <v>7.42</v>
      </c>
      <c r="T197" s="10"/>
    </row>
    <row r="198" spans="1:20" x14ac:dyDescent="0.25">
      <c r="A198">
        <v>197</v>
      </c>
      <c r="B198" t="s">
        <v>323</v>
      </c>
      <c r="C198" s="18">
        <v>8.14</v>
      </c>
      <c r="D198" s="13">
        <v>1</v>
      </c>
      <c r="E198" s="18">
        <v>5.6</v>
      </c>
      <c r="F198" s="18">
        <v>8.1</v>
      </c>
      <c r="G198" s="18">
        <v>8.14</v>
      </c>
      <c r="T198" s="10"/>
    </row>
    <row r="199" spans="1:20" x14ac:dyDescent="0.25">
      <c r="A199">
        <v>198</v>
      </c>
      <c r="B199" s="10" t="s">
        <v>944</v>
      </c>
      <c r="C199" s="18">
        <v>8.1300000000000008</v>
      </c>
      <c r="D199" s="13">
        <v>1</v>
      </c>
      <c r="E199" s="18">
        <v>5.6</v>
      </c>
      <c r="F199" s="18">
        <v>8.1</v>
      </c>
      <c r="G199" s="18">
        <v>8.1300000000000008</v>
      </c>
      <c r="T199" s="10"/>
    </row>
    <row r="200" spans="1:20" x14ac:dyDescent="0.25">
      <c r="A200">
        <v>199</v>
      </c>
      <c r="B200" t="s">
        <v>294</v>
      </c>
      <c r="C200" s="18">
        <v>8.1199999999999992</v>
      </c>
      <c r="D200" s="13">
        <v>1</v>
      </c>
      <c r="E200" s="18">
        <v>5.6</v>
      </c>
      <c r="F200" s="18">
        <v>8.1</v>
      </c>
      <c r="G200" s="18">
        <v>8.1199999999999992</v>
      </c>
      <c r="T200" s="10"/>
    </row>
    <row r="201" spans="1:20" x14ac:dyDescent="0.25">
      <c r="A201">
        <v>200</v>
      </c>
      <c r="B201" t="s">
        <v>877</v>
      </c>
      <c r="C201" s="18">
        <v>8.1449999999999996</v>
      </c>
      <c r="D201" s="13">
        <v>1</v>
      </c>
      <c r="E201" s="18">
        <v>5.6</v>
      </c>
      <c r="F201" s="18">
        <v>8</v>
      </c>
      <c r="G201" s="18">
        <v>8.02</v>
      </c>
      <c r="T201" s="10"/>
    </row>
    <row r="202" spans="1:20" x14ac:dyDescent="0.25">
      <c r="A202">
        <v>201</v>
      </c>
      <c r="B202" t="s">
        <v>847</v>
      </c>
      <c r="C202" s="18">
        <v>8.1349999999999998</v>
      </c>
      <c r="D202" s="13">
        <v>1</v>
      </c>
      <c r="E202" s="18">
        <v>5.6</v>
      </c>
      <c r="F202" s="18">
        <v>8</v>
      </c>
      <c r="G202" s="18">
        <v>8.01</v>
      </c>
      <c r="T202" s="10"/>
    </row>
    <row r="203" spans="1:20" x14ac:dyDescent="0.25">
      <c r="A203">
        <v>202</v>
      </c>
      <c r="B203" t="s">
        <v>27</v>
      </c>
      <c r="C203" s="18">
        <v>8.0739999999999998</v>
      </c>
      <c r="D203" s="13">
        <v>1</v>
      </c>
      <c r="E203" s="18">
        <v>5.6</v>
      </c>
      <c r="F203" s="18">
        <v>7.9</v>
      </c>
      <c r="G203" s="18">
        <v>7.9489999999999998</v>
      </c>
      <c r="T203" s="10"/>
    </row>
    <row r="204" spans="1:20" x14ac:dyDescent="0.25">
      <c r="A204">
        <v>203</v>
      </c>
      <c r="B204" s="10" t="s">
        <v>966</v>
      </c>
      <c r="C204" s="18">
        <v>8.0650000000000013</v>
      </c>
      <c r="D204" s="13">
        <v>1</v>
      </c>
      <c r="E204" s="18">
        <v>5.6</v>
      </c>
      <c r="F204" s="18">
        <v>7.9</v>
      </c>
      <c r="G204" s="18">
        <v>7.94</v>
      </c>
      <c r="T204" s="10"/>
    </row>
    <row r="205" spans="1:20" x14ac:dyDescent="0.25">
      <c r="A205">
        <v>204</v>
      </c>
      <c r="B205" s="10" t="s">
        <v>834</v>
      </c>
      <c r="C205" s="18">
        <v>8.0549999999999997</v>
      </c>
      <c r="D205" s="13">
        <v>1</v>
      </c>
      <c r="E205" s="18">
        <v>5.6</v>
      </c>
      <c r="F205" s="18">
        <v>7.9</v>
      </c>
      <c r="G205" s="18">
        <v>7.93</v>
      </c>
      <c r="T205" s="5"/>
    </row>
    <row r="206" spans="1:20" x14ac:dyDescent="0.25">
      <c r="A206">
        <v>205</v>
      </c>
      <c r="B206" t="s">
        <v>828</v>
      </c>
      <c r="C206" s="18">
        <v>8.0990000000000002</v>
      </c>
      <c r="D206" s="13">
        <v>1</v>
      </c>
      <c r="E206" s="18">
        <v>5.6</v>
      </c>
      <c r="F206" s="18">
        <v>7.8</v>
      </c>
      <c r="G206" s="18">
        <v>7.8490000000000002</v>
      </c>
      <c r="T206" s="10"/>
    </row>
    <row r="207" spans="1:20" x14ac:dyDescent="0.25">
      <c r="A207">
        <v>206</v>
      </c>
      <c r="B207" s="10" t="s">
        <v>703</v>
      </c>
      <c r="C207" s="18">
        <v>8.08</v>
      </c>
      <c r="D207" s="13">
        <v>1</v>
      </c>
      <c r="E207" s="18">
        <v>5.6</v>
      </c>
      <c r="F207" s="18">
        <v>7.8</v>
      </c>
      <c r="G207" s="18">
        <v>7.83</v>
      </c>
      <c r="T207" s="10"/>
    </row>
    <row r="208" spans="1:20" x14ac:dyDescent="0.25">
      <c r="A208">
        <v>207</v>
      </c>
      <c r="B208" t="s">
        <v>161</v>
      </c>
      <c r="C208" s="18">
        <v>19.315000000000001</v>
      </c>
      <c r="D208" s="13">
        <v>3</v>
      </c>
      <c r="E208" s="18">
        <v>5.6</v>
      </c>
      <c r="F208" s="18">
        <v>6.3</v>
      </c>
      <c r="G208" s="18">
        <v>18.940000000000001</v>
      </c>
      <c r="T208" s="5"/>
    </row>
    <row r="209" spans="1:20" x14ac:dyDescent="0.25">
      <c r="A209">
        <v>208</v>
      </c>
      <c r="B209" t="s">
        <v>981</v>
      </c>
      <c r="C209" s="18">
        <v>8.08</v>
      </c>
      <c r="D209" s="13">
        <v>1</v>
      </c>
      <c r="E209" s="18">
        <v>5.6</v>
      </c>
      <c r="F209" s="18">
        <v>7.3</v>
      </c>
      <c r="G209" s="18">
        <v>7.33</v>
      </c>
      <c r="T209" s="10"/>
    </row>
    <row r="210" spans="1:20" x14ac:dyDescent="0.25">
      <c r="A210">
        <v>209</v>
      </c>
      <c r="B210" t="s">
        <v>594</v>
      </c>
      <c r="C210" s="18">
        <v>8.0399999999999991</v>
      </c>
      <c r="D210" s="13">
        <v>1</v>
      </c>
      <c r="E210" s="18">
        <v>5.5</v>
      </c>
      <c r="F210" s="18">
        <v>8</v>
      </c>
      <c r="G210" s="18">
        <v>8.0399999999999991</v>
      </c>
      <c r="T210" s="10"/>
    </row>
    <row r="211" spans="1:20" x14ac:dyDescent="0.25">
      <c r="A211">
        <v>210</v>
      </c>
      <c r="B211" t="s">
        <v>268</v>
      </c>
      <c r="C211" s="18">
        <v>8.0299999999999994</v>
      </c>
      <c r="D211" s="13">
        <v>1</v>
      </c>
      <c r="E211" s="18">
        <v>5.5</v>
      </c>
      <c r="F211" s="18">
        <v>8</v>
      </c>
      <c r="G211" s="18">
        <v>8.0299999999999994</v>
      </c>
      <c r="T211" s="5"/>
    </row>
    <row r="212" spans="1:20" x14ac:dyDescent="0.25">
      <c r="A212">
        <v>211</v>
      </c>
      <c r="B212" t="s">
        <v>837</v>
      </c>
      <c r="C212" s="18">
        <v>8.02</v>
      </c>
      <c r="D212" s="4">
        <v>1</v>
      </c>
      <c r="E212" s="18">
        <v>5.5</v>
      </c>
      <c r="F212" s="18">
        <v>8</v>
      </c>
      <c r="G212" s="18">
        <v>8.02</v>
      </c>
      <c r="T212" s="10"/>
    </row>
    <row r="213" spans="1:20" x14ac:dyDescent="0.25">
      <c r="A213">
        <v>212</v>
      </c>
      <c r="B213" t="s">
        <v>814</v>
      </c>
      <c r="C213" s="18">
        <v>8.01</v>
      </c>
      <c r="D213" s="13">
        <v>1</v>
      </c>
      <c r="E213" s="18">
        <v>5.5</v>
      </c>
      <c r="F213" s="18">
        <v>8</v>
      </c>
      <c r="G213" s="18">
        <v>8.01</v>
      </c>
      <c r="T213" s="10"/>
    </row>
    <row r="214" spans="1:20" x14ac:dyDescent="0.25">
      <c r="A214">
        <v>213</v>
      </c>
      <c r="B214" t="s">
        <v>985</v>
      </c>
      <c r="C214" s="18">
        <v>8.0350000000000001</v>
      </c>
      <c r="D214" s="4">
        <v>1</v>
      </c>
      <c r="E214" s="18">
        <v>5.5</v>
      </c>
      <c r="F214" s="18">
        <v>7.9</v>
      </c>
      <c r="G214" s="18">
        <v>7.91</v>
      </c>
      <c r="T214" s="10"/>
    </row>
    <row r="215" spans="1:20" x14ac:dyDescent="0.25">
      <c r="A215">
        <v>214</v>
      </c>
      <c r="B215" t="s">
        <v>996</v>
      </c>
      <c r="C215" s="18">
        <v>8.0350000000000001</v>
      </c>
      <c r="D215" s="13">
        <v>1</v>
      </c>
      <c r="E215" s="18">
        <v>5.5</v>
      </c>
      <c r="F215" s="18">
        <v>7.9</v>
      </c>
      <c r="G215" s="18">
        <v>7.91</v>
      </c>
      <c r="T215" s="10"/>
    </row>
    <row r="216" spans="1:20" x14ac:dyDescent="0.25">
      <c r="A216">
        <v>215</v>
      </c>
      <c r="B216" t="s">
        <v>843</v>
      </c>
      <c r="C216" s="18">
        <v>7.9740000000000002</v>
      </c>
      <c r="D216" s="13">
        <v>1</v>
      </c>
      <c r="E216" s="18">
        <v>5.5</v>
      </c>
      <c r="F216" s="18">
        <v>7.8</v>
      </c>
      <c r="G216" s="18">
        <v>7.8490000000000002</v>
      </c>
      <c r="T216" s="10"/>
    </row>
    <row r="217" spans="1:20" x14ac:dyDescent="0.25">
      <c r="A217">
        <v>216</v>
      </c>
      <c r="B217" t="s">
        <v>704</v>
      </c>
      <c r="C217" s="18">
        <v>7.9550000000000001</v>
      </c>
      <c r="D217" s="13">
        <v>1</v>
      </c>
      <c r="E217" s="18">
        <v>5.5</v>
      </c>
      <c r="F217" s="18">
        <v>7.8</v>
      </c>
      <c r="G217" s="18">
        <v>7.83</v>
      </c>
      <c r="T217" s="10"/>
    </row>
    <row r="218" spans="1:20" x14ac:dyDescent="0.25">
      <c r="A218">
        <v>217</v>
      </c>
      <c r="B218" t="s">
        <v>475</v>
      </c>
      <c r="C218" s="18">
        <v>7.97</v>
      </c>
      <c r="D218" s="13">
        <v>1</v>
      </c>
      <c r="E218" s="18">
        <v>5.5</v>
      </c>
      <c r="F218" s="18">
        <v>7.7</v>
      </c>
      <c r="G218" s="18">
        <v>7.72</v>
      </c>
      <c r="T218" s="10"/>
    </row>
    <row r="219" spans="1:20" x14ac:dyDescent="0.25">
      <c r="A219">
        <v>218</v>
      </c>
      <c r="B219" s="10" t="s">
        <v>160</v>
      </c>
      <c r="C219" s="18">
        <v>18.940000000000001</v>
      </c>
      <c r="D219" s="13">
        <v>3</v>
      </c>
      <c r="E219" s="18">
        <v>5.5</v>
      </c>
      <c r="F219" s="18">
        <v>6.3</v>
      </c>
      <c r="G219" s="18">
        <v>18.940000000000001</v>
      </c>
      <c r="T219" s="5"/>
    </row>
    <row r="220" spans="1:20" x14ac:dyDescent="0.25">
      <c r="A220">
        <v>219</v>
      </c>
      <c r="B220" t="s">
        <v>382</v>
      </c>
      <c r="C220" s="18">
        <v>13.555</v>
      </c>
      <c r="D220" s="13">
        <v>2</v>
      </c>
      <c r="E220" s="18">
        <v>5.5</v>
      </c>
      <c r="F220" s="18">
        <v>6.7</v>
      </c>
      <c r="G220" s="18">
        <v>13.43</v>
      </c>
      <c r="T220" s="10"/>
    </row>
    <row r="221" spans="1:20" x14ac:dyDescent="0.25">
      <c r="A221">
        <v>220</v>
      </c>
      <c r="B221" t="s">
        <v>298</v>
      </c>
      <c r="C221" s="18">
        <v>13.469999999999999</v>
      </c>
      <c r="D221" s="13">
        <v>2</v>
      </c>
      <c r="E221" s="18">
        <v>5.5</v>
      </c>
      <c r="F221" s="18">
        <v>6.6</v>
      </c>
      <c r="G221" s="18">
        <v>13.219999999999999</v>
      </c>
      <c r="T221" s="10"/>
    </row>
    <row r="222" spans="1:20" x14ac:dyDescent="0.25">
      <c r="A222">
        <v>221</v>
      </c>
      <c r="B222" s="5" t="s">
        <v>829</v>
      </c>
      <c r="C222" s="18">
        <v>7.9989999999999997</v>
      </c>
      <c r="D222" s="13">
        <v>1</v>
      </c>
      <c r="E222" s="18">
        <v>5.5</v>
      </c>
      <c r="F222" s="18">
        <v>7.2</v>
      </c>
      <c r="G222" s="18">
        <v>7.2489999999999997</v>
      </c>
      <c r="T222" s="5"/>
    </row>
    <row r="223" spans="1:20" x14ac:dyDescent="0.25">
      <c r="A223">
        <v>222</v>
      </c>
      <c r="B223" t="s">
        <v>446</v>
      </c>
      <c r="C223" s="18">
        <v>13.41</v>
      </c>
      <c r="D223" s="13">
        <v>2</v>
      </c>
      <c r="E223" s="18">
        <v>5.5</v>
      </c>
      <c r="F223" s="18">
        <v>6.6</v>
      </c>
      <c r="G223" s="18">
        <v>13.16</v>
      </c>
      <c r="T223" s="5"/>
    </row>
    <row r="224" spans="1:20" x14ac:dyDescent="0.25">
      <c r="A224">
        <v>223</v>
      </c>
      <c r="B224" t="s">
        <v>299</v>
      </c>
      <c r="C224" s="18">
        <v>13.27</v>
      </c>
      <c r="D224" s="13">
        <v>2</v>
      </c>
      <c r="E224" s="18">
        <v>5.4</v>
      </c>
      <c r="F224" s="18">
        <v>6.5</v>
      </c>
      <c r="G224" s="18">
        <v>13.02</v>
      </c>
      <c r="T224" s="5"/>
    </row>
    <row r="225" spans="1:20" x14ac:dyDescent="0.25">
      <c r="A225">
        <v>224</v>
      </c>
      <c r="B225" t="s">
        <v>840</v>
      </c>
      <c r="C225" s="18">
        <v>7.94</v>
      </c>
      <c r="D225" s="13">
        <v>1</v>
      </c>
      <c r="E225" s="18">
        <v>5.4</v>
      </c>
      <c r="F225" s="18">
        <v>7.9</v>
      </c>
      <c r="G225" s="18">
        <v>7.94</v>
      </c>
      <c r="T225" s="10"/>
    </row>
    <row r="226" spans="1:20" x14ac:dyDescent="0.25">
      <c r="A226">
        <v>225</v>
      </c>
      <c r="B226" t="s">
        <v>833</v>
      </c>
      <c r="C226" s="18">
        <v>7.93</v>
      </c>
      <c r="D226" s="4">
        <v>1</v>
      </c>
      <c r="E226" s="18">
        <v>5.4</v>
      </c>
      <c r="F226" s="18">
        <v>7.9</v>
      </c>
      <c r="G226" s="18">
        <v>7.93</v>
      </c>
      <c r="T226" s="10"/>
    </row>
    <row r="227" spans="1:20" x14ac:dyDescent="0.25">
      <c r="A227">
        <v>226</v>
      </c>
      <c r="B227" t="s">
        <v>172</v>
      </c>
      <c r="C227" s="18">
        <v>7.9450000000000003</v>
      </c>
      <c r="D227" s="13">
        <v>1</v>
      </c>
      <c r="E227" s="18">
        <v>5.4</v>
      </c>
      <c r="F227" s="18">
        <v>7.8</v>
      </c>
      <c r="G227" s="18">
        <v>7.82</v>
      </c>
      <c r="T227" s="10"/>
    </row>
    <row r="228" spans="1:20" x14ac:dyDescent="0.25">
      <c r="A228">
        <v>227</v>
      </c>
      <c r="B228" t="s">
        <v>186</v>
      </c>
      <c r="C228" s="18">
        <v>7.9349999999999996</v>
      </c>
      <c r="D228" s="13">
        <v>1</v>
      </c>
      <c r="E228" s="18">
        <v>5.4</v>
      </c>
      <c r="F228" s="18">
        <v>7.8</v>
      </c>
      <c r="G228" s="18">
        <v>7.81</v>
      </c>
      <c r="T228" s="10"/>
    </row>
    <row r="229" spans="1:20" x14ac:dyDescent="0.25">
      <c r="A229">
        <v>228</v>
      </c>
      <c r="B229" s="10" t="s">
        <v>404</v>
      </c>
      <c r="C229" s="18">
        <v>7.8550000000000004</v>
      </c>
      <c r="D229" s="13">
        <v>1</v>
      </c>
      <c r="E229" s="18">
        <v>5.4</v>
      </c>
      <c r="F229" s="18">
        <v>7.7</v>
      </c>
      <c r="G229" s="18">
        <v>7.73</v>
      </c>
      <c r="T229" s="10"/>
    </row>
    <row r="230" spans="1:20" x14ac:dyDescent="0.25">
      <c r="A230">
        <v>229</v>
      </c>
      <c r="B230" t="s">
        <v>739</v>
      </c>
      <c r="C230" s="18">
        <v>7.87</v>
      </c>
      <c r="D230" s="13">
        <v>1</v>
      </c>
      <c r="E230" s="18">
        <v>5.4</v>
      </c>
      <c r="F230" s="18">
        <v>7.6</v>
      </c>
      <c r="G230" s="18">
        <v>7.62</v>
      </c>
      <c r="T230" s="10"/>
    </row>
    <row r="231" spans="1:20" x14ac:dyDescent="0.25">
      <c r="A231">
        <v>230</v>
      </c>
      <c r="B231" t="s">
        <v>509</v>
      </c>
      <c r="C231" s="18">
        <v>7.86</v>
      </c>
      <c r="D231" s="13">
        <v>1</v>
      </c>
      <c r="E231" s="18">
        <v>5.4</v>
      </c>
      <c r="F231" s="18">
        <v>7.6</v>
      </c>
      <c r="G231" s="18">
        <v>7.61</v>
      </c>
      <c r="T231" s="10"/>
    </row>
    <row r="232" spans="1:20" x14ac:dyDescent="0.25">
      <c r="A232">
        <v>231</v>
      </c>
      <c r="B232" s="10" t="s">
        <v>341</v>
      </c>
      <c r="C232" s="18">
        <v>18.594999999999999</v>
      </c>
      <c r="D232" s="13">
        <v>3</v>
      </c>
      <c r="E232" s="18">
        <v>5.4</v>
      </c>
      <c r="F232" s="18">
        <v>6.2</v>
      </c>
      <c r="G232" s="18">
        <v>18.47</v>
      </c>
      <c r="T232" s="10"/>
    </row>
    <row r="233" spans="1:20" x14ac:dyDescent="0.25">
      <c r="A233">
        <v>232</v>
      </c>
      <c r="B233" t="s">
        <v>325</v>
      </c>
      <c r="C233" s="18">
        <v>13.365</v>
      </c>
      <c r="D233" s="13">
        <v>2</v>
      </c>
      <c r="E233" s="18">
        <v>5.4</v>
      </c>
      <c r="F233" s="18">
        <v>6.6</v>
      </c>
      <c r="G233" s="18">
        <v>13.24</v>
      </c>
      <c r="T233" s="10"/>
    </row>
    <row r="234" spans="1:20" x14ac:dyDescent="0.25">
      <c r="A234">
        <v>233</v>
      </c>
      <c r="B234" t="s">
        <v>880</v>
      </c>
      <c r="C234" s="18">
        <v>7.87</v>
      </c>
      <c r="D234" s="13">
        <v>1</v>
      </c>
      <c r="E234" s="18">
        <v>5.4</v>
      </c>
      <c r="F234" s="18">
        <v>7.1</v>
      </c>
      <c r="G234" s="18">
        <v>7.12</v>
      </c>
      <c r="T234" s="10"/>
    </row>
    <row r="235" spans="1:20" x14ac:dyDescent="0.25">
      <c r="A235">
        <v>234</v>
      </c>
      <c r="B235" s="10" t="s">
        <v>481</v>
      </c>
      <c r="C235" s="18">
        <v>13.170000000000002</v>
      </c>
      <c r="D235" s="13">
        <v>2</v>
      </c>
      <c r="E235" s="18">
        <v>5.3</v>
      </c>
      <c r="F235" s="18">
        <v>6.5</v>
      </c>
      <c r="G235" s="18">
        <v>12.920000000000002</v>
      </c>
      <c r="T235" s="11"/>
    </row>
    <row r="236" spans="1:20" x14ac:dyDescent="0.25">
      <c r="A236">
        <v>235</v>
      </c>
      <c r="B236" t="s">
        <v>124</v>
      </c>
      <c r="C236" s="18">
        <v>13.048999999999999</v>
      </c>
      <c r="D236" s="13">
        <v>2</v>
      </c>
      <c r="E236" s="18">
        <v>5.3</v>
      </c>
      <c r="F236" s="18">
        <v>5.8</v>
      </c>
      <c r="G236" s="18">
        <v>11.548999999999999</v>
      </c>
      <c r="T236" s="10"/>
    </row>
    <row r="237" spans="1:20" x14ac:dyDescent="0.25">
      <c r="A237">
        <v>236</v>
      </c>
      <c r="B237" t="s">
        <v>950</v>
      </c>
      <c r="C237" s="18">
        <v>7.8490000000000002</v>
      </c>
      <c r="D237" s="13">
        <v>1</v>
      </c>
      <c r="E237" s="18">
        <v>5.3</v>
      </c>
      <c r="F237" s="18">
        <v>7.8</v>
      </c>
      <c r="G237" s="18">
        <v>7.8490000000000002</v>
      </c>
      <c r="T237" s="5"/>
    </row>
    <row r="238" spans="1:20" x14ac:dyDescent="0.25">
      <c r="A238">
        <v>237</v>
      </c>
      <c r="B238" t="s">
        <v>705</v>
      </c>
      <c r="C238" s="18">
        <v>7.83</v>
      </c>
      <c r="D238" s="13">
        <v>1</v>
      </c>
      <c r="E238" s="18">
        <v>5.3</v>
      </c>
      <c r="F238" s="18">
        <v>7.8</v>
      </c>
      <c r="G238" s="18">
        <v>7.83</v>
      </c>
      <c r="T238" s="10"/>
    </row>
    <row r="239" spans="1:20" x14ac:dyDescent="0.25">
      <c r="A239">
        <v>238</v>
      </c>
      <c r="B239" t="s">
        <v>171</v>
      </c>
      <c r="C239" s="18">
        <v>7.82</v>
      </c>
      <c r="D239" s="13">
        <v>1</v>
      </c>
      <c r="E239" s="18">
        <v>5.3</v>
      </c>
      <c r="F239" s="18">
        <v>7.8</v>
      </c>
      <c r="G239" s="18">
        <v>7.82</v>
      </c>
      <c r="T239" s="5"/>
    </row>
    <row r="240" spans="1:20" x14ac:dyDescent="0.25">
      <c r="A240">
        <v>239</v>
      </c>
      <c r="B240" s="10" t="s">
        <v>476</v>
      </c>
      <c r="C240" s="18">
        <v>7.8449999999999998</v>
      </c>
      <c r="D240" s="13">
        <v>1</v>
      </c>
      <c r="E240" s="18">
        <v>5.3</v>
      </c>
      <c r="F240" s="18">
        <v>7.7</v>
      </c>
      <c r="G240" s="18">
        <v>7.72</v>
      </c>
      <c r="T240" s="5"/>
    </row>
    <row r="241" spans="1:20" x14ac:dyDescent="0.25">
      <c r="A241">
        <v>240</v>
      </c>
      <c r="B241" t="s">
        <v>459</v>
      </c>
      <c r="C241" s="18">
        <v>7.774</v>
      </c>
      <c r="D241" s="13">
        <v>1</v>
      </c>
      <c r="E241" s="18">
        <v>5.3</v>
      </c>
      <c r="F241" s="18">
        <v>7.6</v>
      </c>
      <c r="G241" s="18">
        <v>7.649</v>
      </c>
      <c r="T241" s="10"/>
    </row>
    <row r="242" spans="1:20" x14ac:dyDescent="0.25">
      <c r="A242">
        <v>241</v>
      </c>
      <c r="B242" s="10" t="s">
        <v>570</v>
      </c>
      <c r="C242" s="18">
        <v>7.7649999999999997</v>
      </c>
      <c r="D242" s="13">
        <v>1</v>
      </c>
      <c r="E242" s="18">
        <v>5.3</v>
      </c>
      <c r="F242" s="18">
        <v>7.6</v>
      </c>
      <c r="G242" s="18">
        <v>7.64</v>
      </c>
      <c r="T242" s="10"/>
    </row>
    <row r="243" spans="1:20" x14ac:dyDescent="0.25">
      <c r="A243">
        <v>242</v>
      </c>
      <c r="B243" t="s">
        <v>988</v>
      </c>
      <c r="C243" s="18">
        <v>7.79</v>
      </c>
      <c r="D243" s="13">
        <v>1</v>
      </c>
      <c r="E243" s="18">
        <v>5.3</v>
      </c>
      <c r="F243" s="18">
        <v>7.5</v>
      </c>
      <c r="G243" s="18">
        <v>7.54</v>
      </c>
      <c r="T243" s="10"/>
    </row>
    <row r="244" spans="1:20" x14ac:dyDescent="0.25">
      <c r="A244">
        <v>243</v>
      </c>
      <c r="B244" t="s">
        <v>371</v>
      </c>
      <c r="C244" s="18">
        <v>7.78</v>
      </c>
      <c r="D244" s="13">
        <v>1</v>
      </c>
      <c r="E244" s="18">
        <v>5.3</v>
      </c>
      <c r="F244" s="18">
        <v>7.5</v>
      </c>
      <c r="G244" s="18">
        <v>7.53</v>
      </c>
      <c r="T244" s="10"/>
    </row>
    <row r="245" spans="1:20" x14ac:dyDescent="0.25">
      <c r="A245">
        <v>244</v>
      </c>
      <c r="B245" t="s">
        <v>381</v>
      </c>
      <c r="C245" s="18">
        <v>7.76</v>
      </c>
      <c r="D245" s="13">
        <v>1</v>
      </c>
      <c r="E245" s="18">
        <v>5.3</v>
      </c>
      <c r="F245" s="18">
        <v>7.5</v>
      </c>
      <c r="G245" s="18">
        <v>7.51</v>
      </c>
      <c r="T245" s="10"/>
    </row>
    <row r="246" spans="1:20" x14ac:dyDescent="0.25">
      <c r="A246">
        <v>245</v>
      </c>
      <c r="B246" t="s">
        <v>199</v>
      </c>
      <c r="C246" s="18">
        <v>13.08</v>
      </c>
      <c r="D246" s="13">
        <v>2</v>
      </c>
      <c r="E246" s="18">
        <v>5.3</v>
      </c>
      <c r="F246" s="18">
        <v>6.4</v>
      </c>
      <c r="G246" s="18">
        <v>12.83</v>
      </c>
      <c r="T246" s="10"/>
    </row>
    <row r="247" spans="1:20" x14ac:dyDescent="0.25">
      <c r="A247">
        <v>246</v>
      </c>
      <c r="B247" t="s">
        <v>181</v>
      </c>
      <c r="C247" s="18">
        <v>7.76</v>
      </c>
      <c r="D247" s="13">
        <v>1</v>
      </c>
      <c r="E247" s="18">
        <v>5.3</v>
      </c>
      <c r="F247" s="18">
        <v>7</v>
      </c>
      <c r="G247" s="18">
        <v>7.01</v>
      </c>
      <c r="T247" s="10"/>
    </row>
    <row r="248" spans="1:20" x14ac:dyDescent="0.25">
      <c r="A248">
        <v>247</v>
      </c>
      <c r="B248" s="10" t="s">
        <v>405</v>
      </c>
      <c r="C248" s="18">
        <v>7.73</v>
      </c>
      <c r="D248" s="13">
        <v>1</v>
      </c>
      <c r="E248" s="18">
        <v>5.2</v>
      </c>
      <c r="F248" s="18">
        <v>7.7</v>
      </c>
      <c r="G248" s="18">
        <v>7.73</v>
      </c>
      <c r="T248" s="10"/>
    </row>
    <row r="249" spans="1:20" x14ac:dyDescent="0.25">
      <c r="A249">
        <v>248</v>
      </c>
      <c r="B249" t="s">
        <v>478</v>
      </c>
      <c r="C249" s="18">
        <v>7.72</v>
      </c>
      <c r="D249" s="13">
        <v>1</v>
      </c>
      <c r="E249" s="18">
        <v>5.2</v>
      </c>
      <c r="F249" s="18">
        <v>7.7</v>
      </c>
      <c r="G249" s="18">
        <v>7.72</v>
      </c>
      <c r="T249" s="10"/>
    </row>
    <row r="250" spans="1:20" x14ac:dyDescent="0.25">
      <c r="A250">
        <v>249</v>
      </c>
      <c r="B250" s="10" t="s">
        <v>740</v>
      </c>
      <c r="C250" s="18">
        <v>7.7450000000000001</v>
      </c>
      <c r="D250" s="13">
        <v>1</v>
      </c>
      <c r="E250" s="18">
        <v>5.2</v>
      </c>
      <c r="F250" s="18">
        <v>7.6</v>
      </c>
      <c r="G250" s="18">
        <v>7.62</v>
      </c>
      <c r="T250" s="10"/>
    </row>
    <row r="251" spans="1:20" x14ac:dyDescent="0.25">
      <c r="A251">
        <v>250</v>
      </c>
      <c r="B251" t="s">
        <v>510</v>
      </c>
      <c r="C251" s="18">
        <v>7.7350000000000003</v>
      </c>
      <c r="D251" s="13">
        <v>1</v>
      </c>
      <c r="E251" s="18">
        <v>5.2</v>
      </c>
      <c r="F251" s="18">
        <v>7.6</v>
      </c>
      <c r="G251" s="18">
        <v>7.61</v>
      </c>
      <c r="T251" s="10"/>
    </row>
    <row r="252" spans="1:20" x14ac:dyDescent="0.25">
      <c r="A252">
        <v>251</v>
      </c>
      <c r="B252" s="5" t="s">
        <v>989</v>
      </c>
      <c r="C252" s="18">
        <v>7.665</v>
      </c>
      <c r="D252" s="13">
        <v>1</v>
      </c>
      <c r="E252" s="18">
        <v>5.2</v>
      </c>
      <c r="F252" s="18">
        <v>7.5</v>
      </c>
      <c r="G252" s="18">
        <v>7.54</v>
      </c>
      <c r="T252" s="10"/>
    </row>
    <row r="253" spans="1:20" x14ac:dyDescent="0.25">
      <c r="A253">
        <v>252</v>
      </c>
      <c r="B253" t="s">
        <v>372</v>
      </c>
      <c r="C253" s="18">
        <v>7.6550000000000002</v>
      </c>
      <c r="D253" s="13">
        <v>1</v>
      </c>
      <c r="E253" s="18">
        <v>5.2</v>
      </c>
      <c r="F253" s="18">
        <v>7.5</v>
      </c>
      <c r="G253" s="18">
        <v>7.53</v>
      </c>
      <c r="T253" s="10"/>
    </row>
    <row r="254" spans="1:20" x14ac:dyDescent="0.25">
      <c r="A254">
        <v>253</v>
      </c>
      <c r="B254" s="5" t="s">
        <v>314</v>
      </c>
      <c r="C254" s="18">
        <v>7.75</v>
      </c>
      <c r="D254" s="13">
        <v>1</v>
      </c>
      <c r="E254" s="18">
        <v>5.2</v>
      </c>
      <c r="F254" s="18">
        <v>7.5</v>
      </c>
      <c r="G254" s="18">
        <v>7.5</v>
      </c>
      <c r="T254" s="10"/>
    </row>
    <row r="255" spans="1:20" x14ac:dyDescent="0.25">
      <c r="A255">
        <v>254</v>
      </c>
      <c r="B255" t="s">
        <v>856</v>
      </c>
      <c r="C255" s="18">
        <v>7.68</v>
      </c>
      <c r="D255" s="13">
        <v>1</v>
      </c>
      <c r="E255" s="18">
        <v>5.2</v>
      </c>
      <c r="F255" s="18">
        <v>7.4</v>
      </c>
      <c r="G255" s="18">
        <v>7.43</v>
      </c>
      <c r="T255" s="10"/>
    </row>
    <row r="256" spans="1:20" x14ac:dyDescent="0.25">
      <c r="A256">
        <v>255</v>
      </c>
      <c r="B256" t="s">
        <v>724</v>
      </c>
      <c r="C256" s="18">
        <v>7.67</v>
      </c>
      <c r="D256" s="13">
        <v>1</v>
      </c>
      <c r="E256" s="18">
        <v>5.2</v>
      </c>
      <c r="F256" s="18">
        <v>7.4</v>
      </c>
      <c r="G256" s="18">
        <v>7.42</v>
      </c>
      <c r="T256" s="10"/>
    </row>
    <row r="257" spans="1:20" x14ac:dyDescent="0.25">
      <c r="A257">
        <v>256</v>
      </c>
      <c r="B257" t="s">
        <v>296</v>
      </c>
      <c r="C257" s="18">
        <v>7.66</v>
      </c>
      <c r="D257" s="13">
        <v>1</v>
      </c>
      <c r="E257" s="18">
        <v>5.2</v>
      </c>
      <c r="F257" s="18">
        <v>7.4</v>
      </c>
      <c r="G257" s="18">
        <v>7.41</v>
      </c>
      <c r="T257" s="10"/>
    </row>
    <row r="258" spans="1:20" x14ac:dyDescent="0.25">
      <c r="A258">
        <v>257</v>
      </c>
      <c r="B258" t="s">
        <v>597</v>
      </c>
      <c r="C258" s="18">
        <v>12.93</v>
      </c>
      <c r="D258" s="13">
        <v>2</v>
      </c>
      <c r="E258" s="18">
        <v>5.2</v>
      </c>
      <c r="F258" s="18">
        <v>5.7</v>
      </c>
      <c r="G258" s="18">
        <v>11.43</v>
      </c>
      <c r="T258" s="10"/>
    </row>
    <row r="259" spans="1:20" x14ac:dyDescent="0.25">
      <c r="A259">
        <v>258</v>
      </c>
      <c r="B259" t="s">
        <v>359</v>
      </c>
      <c r="C259" s="18">
        <v>17.89</v>
      </c>
      <c r="D259" s="13">
        <v>3</v>
      </c>
      <c r="E259" s="18">
        <v>5.0999999999999996</v>
      </c>
      <c r="F259" s="18">
        <v>5.9</v>
      </c>
      <c r="G259" s="18">
        <v>17.64</v>
      </c>
      <c r="T259" s="10"/>
    </row>
    <row r="260" spans="1:20" x14ac:dyDescent="0.25">
      <c r="A260">
        <v>259</v>
      </c>
      <c r="B260" t="s">
        <v>460</v>
      </c>
      <c r="C260" s="18">
        <v>7.649</v>
      </c>
      <c r="D260" s="13">
        <v>1</v>
      </c>
      <c r="E260" s="18">
        <v>5.0999999999999996</v>
      </c>
      <c r="F260" s="18">
        <v>7.6</v>
      </c>
      <c r="G260" s="18">
        <v>7.649</v>
      </c>
      <c r="T260" s="10"/>
    </row>
    <row r="261" spans="1:20" x14ac:dyDescent="0.25">
      <c r="A261">
        <v>260</v>
      </c>
      <c r="B261" t="s">
        <v>511</v>
      </c>
      <c r="C261" s="18">
        <v>7.61</v>
      </c>
      <c r="D261" s="13">
        <v>1</v>
      </c>
      <c r="E261" s="18">
        <v>5.0999999999999996</v>
      </c>
      <c r="F261" s="18">
        <v>7.6</v>
      </c>
      <c r="G261" s="18">
        <v>7.61</v>
      </c>
      <c r="T261" s="10"/>
    </row>
    <row r="262" spans="1:20" x14ac:dyDescent="0.25">
      <c r="A262">
        <v>261</v>
      </c>
      <c r="B262" t="s">
        <v>265</v>
      </c>
      <c r="C262" s="18">
        <v>7.6449999999999996</v>
      </c>
      <c r="D262" s="13">
        <v>1</v>
      </c>
      <c r="E262" s="18">
        <v>5.0999999999999996</v>
      </c>
      <c r="F262" s="18">
        <v>7.5</v>
      </c>
      <c r="G262" s="18">
        <v>7.52</v>
      </c>
      <c r="T262" s="10"/>
    </row>
    <row r="263" spans="1:20" x14ac:dyDescent="0.25">
      <c r="A263">
        <v>262</v>
      </c>
      <c r="B263" t="s">
        <v>216</v>
      </c>
      <c r="C263" s="18">
        <v>7.5650000000000004</v>
      </c>
      <c r="D263" s="13">
        <v>1</v>
      </c>
      <c r="E263" s="18">
        <v>5.0999999999999996</v>
      </c>
      <c r="F263" s="18">
        <v>7.4</v>
      </c>
      <c r="G263" s="18">
        <v>7.44</v>
      </c>
      <c r="T263" s="10"/>
    </row>
    <row r="264" spans="1:20" x14ac:dyDescent="0.25">
      <c r="A264">
        <v>263</v>
      </c>
      <c r="B264" s="5" t="s">
        <v>857</v>
      </c>
      <c r="C264" s="18">
        <v>7.5549999999999997</v>
      </c>
      <c r="D264" s="13">
        <v>1</v>
      </c>
      <c r="E264" s="18">
        <v>5.0999999999999996</v>
      </c>
      <c r="F264" s="18">
        <v>7.4</v>
      </c>
      <c r="G264" s="18">
        <v>7.43</v>
      </c>
      <c r="T264" s="10"/>
    </row>
    <row r="265" spans="1:20" x14ac:dyDescent="0.25">
      <c r="A265">
        <v>264</v>
      </c>
      <c r="B265" t="s">
        <v>812</v>
      </c>
      <c r="C265" s="18">
        <v>7.5990000000000002</v>
      </c>
      <c r="D265" s="13">
        <v>1</v>
      </c>
      <c r="E265" s="18">
        <v>5.0999999999999996</v>
      </c>
      <c r="F265" s="18">
        <v>7.3</v>
      </c>
      <c r="G265" s="18">
        <v>7.3490000000000002</v>
      </c>
      <c r="T265" s="10"/>
    </row>
    <row r="266" spans="1:20" x14ac:dyDescent="0.25">
      <c r="A266">
        <v>265</v>
      </c>
      <c r="B266" s="10" t="s">
        <v>97</v>
      </c>
      <c r="C266" s="18">
        <v>7.59</v>
      </c>
      <c r="D266" s="13">
        <v>1</v>
      </c>
      <c r="E266" s="18">
        <v>5.0999999999999996</v>
      </c>
      <c r="F266" s="18">
        <v>7.3</v>
      </c>
      <c r="G266" s="18">
        <v>7.34</v>
      </c>
      <c r="T266" s="10"/>
    </row>
    <row r="267" spans="1:20" x14ac:dyDescent="0.25">
      <c r="A267">
        <v>266</v>
      </c>
      <c r="B267" t="s">
        <v>822</v>
      </c>
      <c r="C267" s="18">
        <v>7.58</v>
      </c>
      <c r="D267" s="13">
        <v>1</v>
      </c>
      <c r="E267" s="18">
        <v>5.0999999999999996</v>
      </c>
      <c r="F267" s="18">
        <v>7.3</v>
      </c>
      <c r="G267" s="18">
        <v>7.33</v>
      </c>
      <c r="T267" s="10"/>
    </row>
    <row r="268" spans="1:20" x14ac:dyDescent="0.25">
      <c r="A268">
        <v>267</v>
      </c>
      <c r="B268" t="s">
        <v>191</v>
      </c>
      <c r="C268" s="18">
        <v>7.56</v>
      </c>
      <c r="D268" s="13">
        <v>1</v>
      </c>
      <c r="E268" s="18">
        <v>5.0999999999999996</v>
      </c>
      <c r="F268" s="18">
        <v>7.3</v>
      </c>
      <c r="G268" s="18">
        <v>7.31</v>
      </c>
      <c r="T268" s="10"/>
    </row>
    <row r="269" spans="1:20" x14ac:dyDescent="0.25">
      <c r="A269">
        <v>268</v>
      </c>
      <c r="B269" s="10" t="s">
        <v>520</v>
      </c>
      <c r="C269" s="18">
        <v>7.58</v>
      </c>
      <c r="D269" s="13">
        <v>1</v>
      </c>
      <c r="E269" s="18">
        <v>5.0999999999999996</v>
      </c>
      <c r="F269" s="18">
        <v>6.8</v>
      </c>
      <c r="G269" s="18">
        <v>6.83</v>
      </c>
      <c r="T269" s="10"/>
    </row>
    <row r="270" spans="1:20" x14ac:dyDescent="0.25">
      <c r="A270">
        <v>269</v>
      </c>
      <c r="B270" t="s">
        <v>450</v>
      </c>
      <c r="C270" s="18">
        <v>12.655000000000001</v>
      </c>
      <c r="D270" s="13">
        <v>2</v>
      </c>
      <c r="E270" s="18">
        <v>5.0999999999999996</v>
      </c>
      <c r="F270" s="18">
        <v>6.3</v>
      </c>
      <c r="G270" s="18">
        <v>12.530000000000001</v>
      </c>
      <c r="T270" s="10"/>
    </row>
    <row r="271" spans="1:20" x14ac:dyDescent="0.25">
      <c r="A271">
        <v>270</v>
      </c>
      <c r="B271" t="s">
        <v>390</v>
      </c>
      <c r="C271" s="18">
        <v>12.65</v>
      </c>
      <c r="D271" s="13">
        <v>2</v>
      </c>
      <c r="E271" s="18">
        <v>5.0999999999999996</v>
      </c>
      <c r="F271" s="18">
        <v>5.6</v>
      </c>
      <c r="G271" s="18">
        <v>11.15</v>
      </c>
      <c r="T271" s="10"/>
    </row>
    <row r="272" spans="1:20" x14ac:dyDescent="0.25">
      <c r="A272">
        <v>271</v>
      </c>
      <c r="B272" t="s">
        <v>990</v>
      </c>
      <c r="C272" s="18">
        <v>7.54</v>
      </c>
      <c r="D272" s="13">
        <v>1</v>
      </c>
      <c r="E272" s="18">
        <v>5</v>
      </c>
      <c r="F272" s="18">
        <v>7.5</v>
      </c>
      <c r="G272" s="18">
        <v>7.54</v>
      </c>
      <c r="T272" s="10"/>
    </row>
    <row r="273" spans="1:20" x14ac:dyDescent="0.25">
      <c r="A273">
        <v>272</v>
      </c>
      <c r="B273" t="s">
        <v>373</v>
      </c>
      <c r="C273" s="18">
        <v>7.53</v>
      </c>
      <c r="D273" s="13">
        <v>1</v>
      </c>
      <c r="E273" s="18">
        <v>5</v>
      </c>
      <c r="F273" s="18">
        <v>7.5</v>
      </c>
      <c r="G273" s="18">
        <v>7.53</v>
      </c>
      <c r="T273" s="10"/>
    </row>
    <row r="274" spans="1:20" x14ac:dyDescent="0.25">
      <c r="A274">
        <v>273</v>
      </c>
      <c r="B274" t="s">
        <v>266</v>
      </c>
      <c r="C274" s="18">
        <v>7.52</v>
      </c>
      <c r="D274" s="13">
        <v>1</v>
      </c>
      <c r="E274" s="18">
        <v>5</v>
      </c>
      <c r="F274" s="18">
        <v>7.5</v>
      </c>
      <c r="G274" s="18">
        <v>7.52</v>
      </c>
      <c r="T274" s="10"/>
    </row>
    <row r="275" spans="1:20" x14ac:dyDescent="0.25">
      <c r="A275">
        <v>274</v>
      </c>
      <c r="B275" s="10" t="s">
        <v>315</v>
      </c>
      <c r="C275" s="18">
        <v>7.5</v>
      </c>
      <c r="D275" s="13">
        <v>1</v>
      </c>
      <c r="E275" s="18">
        <v>5</v>
      </c>
      <c r="F275" s="18">
        <v>7.5</v>
      </c>
      <c r="G275" s="18">
        <v>7.5</v>
      </c>
      <c r="T275" s="10"/>
    </row>
    <row r="276" spans="1:20" x14ac:dyDescent="0.25">
      <c r="A276">
        <v>275</v>
      </c>
      <c r="B276" t="s">
        <v>725</v>
      </c>
      <c r="C276" s="18">
        <v>7.5449999999999999</v>
      </c>
      <c r="D276" s="13">
        <v>1</v>
      </c>
      <c r="E276" s="18">
        <v>5</v>
      </c>
      <c r="F276" s="18">
        <v>7.4</v>
      </c>
      <c r="G276" s="18">
        <v>7.42</v>
      </c>
      <c r="T276" s="10"/>
    </row>
    <row r="277" spans="1:20" x14ac:dyDescent="0.25">
      <c r="A277">
        <v>276</v>
      </c>
      <c r="B277" t="s">
        <v>297</v>
      </c>
      <c r="C277" s="18">
        <v>7.5350000000000001</v>
      </c>
      <c r="D277" s="13">
        <v>1</v>
      </c>
      <c r="E277" s="18">
        <v>5</v>
      </c>
      <c r="F277" s="18">
        <v>7.4</v>
      </c>
      <c r="G277" s="18">
        <v>7.41</v>
      </c>
      <c r="T277" s="10"/>
    </row>
    <row r="278" spans="1:20" x14ac:dyDescent="0.25">
      <c r="A278">
        <v>277</v>
      </c>
      <c r="B278" t="s">
        <v>270</v>
      </c>
      <c r="C278" s="18">
        <v>7.4649999999999999</v>
      </c>
      <c r="D278" s="13">
        <v>1</v>
      </c>
      <c r="E278" s="18">
        <v>5</v>
      </c>
      <c r="F278" s="18">
        <v>7.3</v>
      </c>
      <c r="G278" s="18">
        <v>7.34</v>
      </c>
      <c r="T278" s="10"/>
    </row>
    <row r="279" spans="1:20" x14ac:dyDescent="0.25">
      <c r="A279">
        <v>278</v>
      </c>
      <c r="B279" t="s">
        <v>982</v>
      </c>
      <c r="C279" s="18">
        <v>7.4550000000000001</v>
      </c>
      <c r="D279" s="13">
        <v>1</v>
      </c>
      <c r="E279" s="18">
        <v>5</v>
      </c>
      <c r="F279" s="18">
        <v>7.3</v>
      </c>
      <c r="G279" s="18">
        <v>7.33</v>
      </c>
      <c r="T279" s="10"/>
    </row>
    <row r="280" spans="1:20" x14ac:dyDescent="0.25">
      <c r="A280">
        <v>279</v>
      </c>
      <c r="B280" s="10" t="s">
        <v>848</v>
      </c>
      <c r="C280" s="18">
        <v>7.4989999999999997</v>
      </c>
      <c r="D280" s="13">
        <v>1</v>
      </c>
      <c r="E280" s="18">
        <v>5</v>
      </c>
      <c r="F280" s="18">
        <v>7.2</v>
      </c>
      <c r="G280" s="18">
        <v>7.2489999999999997</v>
      </c>
      <c r="T280" s="10"/>
    </row>
    <row r="281" spans="1:20" x14ac:dyDescent="0.25">
      <c r="A281">
        <v>280</v>
      </c>
      <c r="B281" s="5" t="s">
        <v>187</v>
      </c>
      <c r="C281" s="18">
        <v>7.49</v>
      </c>
      <c r="D281" s="13">
        <v>1</v>
      </c>
      <c r="E281" s="18">
        <v>5</v>
      </c>
      <c r="F281" s="18">
        <v>7.2</v>
      </c>
      <c r="G281" s="18">
        <v>7.24</v>
      </c>
      <c r="T281" s="10"/>
    </row>
    <row r="282" spans="1:20" x14ac:dyDescent="0.25">
      <c r="A282">
        <v>281</v>
      </c>
      <c r="B282" t="s">
        <v>909</v>
      </c>
      <c r="C282" s="18">
        <v>7.46</v>
      </c>
      <c r="D282" s="13">
        <v>1</v>
      </c>
      <c r="E282" s="18">
        <v>5</v>
      </c>
      <c r="F282" s="18">
        <v>7.2</v>
      </c>
      <c r="G282" s="18">
        <v>7.21</v>
      </c>
      <c r="T282" s="10"/>
    </row>
    <row r="283" spans="1:20" x14ac:dyDescent="0.25">
      <c r="A283">
        <v>282</v>
      </c>
      <c r="B283" t="s">
        <v>316</v>
      </c>
      <c r="C283" s="18">
        <v>7.47</v>
      </c>
      <c r="D283" s="13">
        <v>1</v>
      </c>
      <c r="E283" s="18">
        <v>5</v>
      </c>
      <c r="F283" s="18">
        <v>6.7</v>
      </c>
      <c r="G283" s="18">
        <v>6.72</v>
      </c>
      <c r="T283" s="10"/>
    </row>
    <row r="284" spans="1:20" x14ac:dyDescent="0.25">
      <c r="A284">
        <v>283</v>
      </c>
      <c r="B284" t="s">
        <v>904</v>
      </c>
      <c r="C284" s="18">
        <v>7.43</v>
      </c>
      <c r="D284" s="13">
        <v>1</v>
      </c>
      <c r="E284" s="18">
        <v>4.9000000000000004</v>
      </c>
      <c r="F284" s="18">
        <v>7.4</v>
      </c>
      <c r="G284" s="18">
        <v>7.43</v>
      </c>
      <c r="T284" s="10"/>
    </row>
    <row r="285" spans="1:20" x14ac:dyDescent="0.25">
      <c r="A285">
        <v>284</v>
      </c>
      <c r="B285" t="s">
        <v>302</v>
      </c>
      <c r="C285" s="18">
        <v>7.4349999999999996</v>
      </c>
      <c r="D285" s="13">
        <v>1</v>
      </c>
      <c r="E285" s="18">
        <v>4.9000000000000004</v>
      </c>
      <c r="F285" s="18">
        <v>7.3</v>
      </c>
      <c r="G285" s="18">
        <v>7.31</v>
      </c>
      <c r="T285" s="10"/>
    </row>
    <row r="286" spans="1:20" x14ac:dyDescent="0.25">
      <c r="A286">
        <v>285</v>
      </c>
      <c r="B286" t="s">
        <v>893</v>
      </c>
      <c r="C286" s="18">
        <v>7.3739999999999997</v>
      </c>
      <c r="D286" s="13">
        <v>1</v>
      </c>
      <c r="E286" s="18">
        <v>4.9000000000000004</v>
      </c>
      <c r="F286" s="18">
        <v>7.2</v>
      </c>
      <c r="G286" s="18">
        <v>7.2489999999999997</v>
      </c>
      <c r="T286" s="10"/>
    </row>
    <row r="287" spans="1:20" x14ac:dyDescent="0.25">
      <c r="A287">
        <v>286</v>
      </c>
      <c r="B287" t="s">
        <v>957</v>
      </c>
      <c r="C287" s="18">
        <v>7.3550000000000004</v>
      </c>
      <c r="D287" s="13">
        <v>1</v>
      </c>
      <c r="E287" s="18">
        <v>4.9000000000000004</v>
      </c>
      <c r="F287" s="18">
        <v>7.2</v>
      </c>
      <c r="G287" s="18">
        <v>7.23</v>
      </c>
      <c r="T287" s="10"/>
    </row>
    <row r="288" spans="1:20" x14ac:dyDescent="0.25">
      <c r="A288">
        <v>287</v>
      </c>
      <c r="B288" t="s">
        <v>462</v>
      </c>
      <c r="C288" s="18">
        <v>7.39</v>
      </c>
      <c r="D288" s="13">
        <v>1</v>
      </c>
      <c r="E288" s="18">
        <v>4.9000000000000004</v>
      </c>
      <c r="F288" s="18">
        <v>7.1</v>
      </c>
      <c r="G288" s="18">
        <v>7.14</v>
      </c>
      <c r="T288" s="10"/>
    </row>
    <row r="289" spans="1:20" x14ac:dyDescent="0.25">
      <c r="A289">
        <v>288</v>
      </c>
      <c r="B289" t="s">
        <v>881</v>
      </c>
      <c r="C289" s="18">
        <v>7.37</v>
      </c>
      <c r="D289" s="13">
        <v>1</v>
      </c>
      <c r="E289" s="18">
        <v>4.9000000000000004</v>
      </c>
      <c r="F289" s="18">
        <v>7.1</v>
      </c>
      <c r="G289" s="18">
        <v>7.12</v>
      </c>
      <c r="T289" s="10"/>
    </row>
    <row r="290" spans="1:20" x14ac:dyDescent="0.25">
      <c r="A290">
        <v>289</v>
      </c>
      <c r="B290" t="s">
        <v>608</v>
      </c>
      <c r="C290" s="18">
        <v>7.36</v>
      </c>
      <c r="D290" s="13">
        <v>1</v>
      </c>
      <c r="E290" s="18">
        <v>4.9000000000000004</v>
      </c>
      <c r="F290" s="18">
        <v>7.1</v>
      </c>
      <c r="G290" s="18">
        <v>7.11</v>
      </c>
      <c r="T290" s="10"/>
    </row>
    <row r="291" spans="1:20" x14ac:dyDescent="0.25">
      <c r="A291">
        <v>290</v>
      </c>
      <c r="B291" t="s">
        <v>121</v>
      </c>
      <c r="C291" s="18">
        <v>17.21</v>
      </c>
      <c r="D291" s="13">
        <v>3</v>
      </c>
      <c r="E291" s="18">
        <v>4.9000000000000004</v>
      </c>
      <c r="F291" s="18">
        <v>5.5</v>
      </c>
      <c r="G291" s="18">
        <v>16.46</v>
      </c>
      <c r="T291" s="10"/>
    </row>
    <row r="292" spans="1:20" x14ac:dyDescent="0.25">
      <c r="A292">
        <v>291</v>
      </c>
      <c r="B292" t="s">
        <v>335</v>
      </c>
      <c r="C292" s="18">
        <v>12.28</v>
      </c>
      <c r="D292" s="13">
        <v>2</v>
      </c>
      <c r="E292" s="18">
        <v>4.9000000000000004</v>
      </c>
      <c r="F292" s="18">
        <v>6</v>
      </c>
      <c r="G292" s="18">
        <v>12.03</v>
      </c>
      <c r="T292" s="10"/>
    </row>
    <row r="293" spans="1:20" x14ac:dyDescent="0.25">
      <c r="A293">
        <v>292</v>
      </c>
      <c r="B293" t="s">
        <v>129</v>
      </c>
      <c r="C293" s="18">
        <v>12.16</v>
      </c>
      <c r="D293" s="13">
        <v>2</v>
      </c>
      <c r="E293" s="18">
        <v>4.8</v>
      </c>
      <c r="F293" s="18">
        <v>6</v>
      </c>
      <c r="G293" s="18">
        <v>11.91</v>
      </c>
      <c r="T293" s="10"/>
    </row>
    <row r="294" spans="1:20" x14ac:dyDescent="0.25">
      <c r="A294">
        <v>293</v>
      </c>
      <c r="B294" t="s">
        <v>945</v>
      </c>
      <c r="C294" s="18">
        <v>7.3490000000000002</v>
      </c>
      <c r="D294" s="13">
        <v>1</v>
      </c>
      <c r="E294" s="18">
        <v>4.8</v>
      </c>
      <c r="F294" s="18">
        <v>7.3</v>
      </c>
      <c r="G294" s="18">
        <v>7.3490000000000002</v>
      </c>
      <c r="T294" s="10"/>
    </row>
    <row r="295" spans="1:20" x14ac:dyDescent="0.25">
      <c r="A295">
        <v>294</v>
      </c>
      <c r="B295" t="s">
        <v>271</v>
      </c>
      <c r="C295" s="18">
        <v>7.34</v>
      </c>
      <c r="D295" s="13">
        <v>1</v>
      </c>
      <c r="E295" s="18">
        <v>4.8</v>
      </c>
      <c r="F295" s="18">
        <v>7.3</v>
      </c>
      <c r="G295" s="18">
        <v>7.34</v>
      </c>
      <c r="T295" s="10"/>
    </row>
    <row r="296" spans="1:20" x14ac:dyDescent="0.25">
      <c r="A296">
        <v>295</v>
      </c>
      <c r="B296" t="s">
        <v>821</v>
      </c>
      <c r="C296" s="18">
        <v>7.33</v>
      </c>
      <c r="D296" s="13">
        <v>1</v>
      </c>
      <c r="E296" s="18">
        <v>4.8</v>
      </c>
      <c r="F296" s="18">
        <v>7.3</v>
      </c>
      <c r="G296" s="18">
        <v>7.33</v>
      </c>
      <c r="T296" s="10"/>
    </row>
    <row r="297" spans="1:20" x14ac:dyDescent="0.25">
      <c r="A297">
        <v>296</v>
      </c>
      <c r="B297" s="10" t="s">
        <v>417</v>
      </c>
      <c r="C297" s="18">
        <v>7.32</v>
      </c>
      <c r="D297" s="13">
        <v>1</v>
      </c>
      <c r="E297" s="18">
        <v>4.8</v>
      </c>
      <c r="F297" s="18">
        <v>7.3</v>
      </c>
      <c r="G297" s="18">
        <v>7.32</v>
      </c>
      <c r="T297" s="10"/>
    </row>
    <row r="298" spans="1:20" x14ac:dyDescent="0.25">
      <c r="A298">
        <v>297</v>
      </c>
      <c r="B298" t="s">
        <v>490</v>
      </c>
      <c r="C298" s="18">
        <v>7.3449999999999998</v>
      </c>
      <c r="D298" s="13">
        <v>1</v>
      </c>
      <c r="E298" s="18">
        <v>4.8</v>
      </c>
      <c r="F298" s="18">
        <v>7.2</v>
      </c>
      <c r="G298" s="18">
        <v>7.22</v>
      </c>
      <c r="T298" s="10"/>
    </row>
    <row r="299" spans="1:20" x14ac:dyDescent="0.25">
      <c r="A299">
        <v>298</v>
      </c>
      <c r="B299" t="s">
        <v>906</v>
      </c>
      <c r="C299" s="18">
        <v>7.2549999999999999</v>
      </c>
      <c r="D299" s="13">
        <v>1</v>
      </c>
      <c r="E299" s="18">
        <v>4.8</v>
      </c>
      <c r="F299" s="18">
        <v>7.1</v>
      </c>
      <c r="G299" s="18">
        <v>7.13</v>
      </c>
      <c r="T299" s="10"/>
    </row>
    <row r="300" spans="1:20" x14ac:dyDescent="0.25">
      <c r="A300">
        <v>299</v>
      </c>
      <c r="B300" t="s">
        <v>823</v>
      </c>
      <c r="C300" s="18">
        <v>7.29</v>
      </c>
      <c r="D300" s="13">
        <v>1</v>
      </c>
      <c r="E300" s="18">
        <v>4.8</v>
      </c>
      <c r="F300" s="18">
        <v>7</v>
      </c>
      <c r="G300" s="18">
        <v>7.04</v>
      </c>
      <c r="T300" s="10"/>
    </row>
    <row r="301" spans="1:20" x14ac:dyDescent="0.25">
      <c r="A301">
        <v>300</v>
      </c>
      <c r="B301" t="s">
        <v>940</v>
      </c>
      <c r="C301" s="18">
        <v>7.28</v>
      </c>
      <c r="D301" s="13">
        <v>1</v>
      </c>
      <c r="E301" s="18">
        <v>4.8</v>
      </c>
      <c r="F301" s="18">
        <v>7</v>
      </c>
      <c r="G301" s="18">
        <v>7.03</v>
      </c>
      <c r="T301" s="10"/>
    </row>
    <row r="302" spans="1:20" x14ac:dyDescent="0.25">
      <c r="A302">
        <v>301</v>
      </c>
      <c r="B302" t="s">
        <v>200</v>
      </c>
      <c r="C302" s="18">
        <v>7.27</v>
      </c>
      <c r="D302" s="13">
        <v>1</v>
      </c>
      <c r="E302" s="18">
        <v>4.8</v>
      </c>
      <c r="F302" s="18">
        <v>7</v>
      </c>
      <c r="G302" s="18">
        <v>7.02</v>
      </c>
      <c r="T302" s="10"/>
    </row>
    <row r="303" spans="1:20" x14ac:dyDescent="0.25">
      <c r="A303">
        <v>302</v>
      </c>
      <c r="B303" t="s">
        <v>183</v>
      </c>
      <c r="C303" s="18">
        <v>7.26</v>
      </c>
      <c r="D303" s="13">
        <v>1</v>
      </c>
      <c r="E303" s="18">
        <v>4.8</v>
      </c>
      <c r="F303" s="18">
        <v>7</v>
      </c>
      <c r="G303" s="18">
        <v>7.01</v>
      </c>
      <c r="T303" s="10"/>
    </row>
    <row r="304" spans="1:20" x14ac:dyDescent="0.25">
      <c r="A304">
        <v>303</v>
      </c>
      <c r="B304" s="10" t="s">
        <v>878</v>
      </c>
      <c r="C304" s="18">
        <v>7.2489999999999997</v>
      </c>
      <c r="D304" s="13">
        <v>1</v>
      </c>
      <c r="E304" s="18">
        <v>4.7</v>
      </c>
      <c r="F304" s="18">
        <v>7.2</v>
      </c>
      <c r="G304" s="18">
        <v>7.2489999999999997</v>
      </c>
      <c r="T304" s="10"/>
    </row>
    <row r="305" spans="1:20" x14ac:dyDescent="0.25">
      <c r="A305">
        <v>304</v>
      </c>
      <c r="B305" t="s">
        <v>188</v>
      </c>
      <c r="C305" s="18">
        <v>7.24</v>
      </c>
      <c r="D305" s="13">
        <v>1</v>
      </c>
      <c r="E305" s="18">
        <v>4.7</v>
      </c>
      <c r="F305" s="18">
        <v>7.2</v>
      </c>
      <c r="G305" s="18">
        <v>7.24</v>
      </c>
      <c r="T305" s="10"/>
    </row>
    <row r="306" spans="1:20" x14ac:dyDescent="0.25">
      <c r="A306">
        <v>305</v>
      </c>
      <c r="B306" t="s">
        <v>958</v>
      </c>
      <c r="C306" s="18">
        <v>7.23</v>
      </c>
      <c r="D306" s="13">
        <v>1</v>
      </c>
      <c r="E306" s="18">
        <v>4.7</v>
      </c>
      <c r="F306" s="18">
        <v>7.2</v>
      </c>
      <c r="G306" s="18">
        <v>7.23</v>
      </c>
      <c r="T306" s="10"/>
    </row>
    <row r="307" spans="1:20" x14ac:dyDescent="0.25">
      <c r="A307">
        <v>306</v>
      </c>
      <c r="B307" t="s">
        <v>882</v>
      </c>
      <c r="C307" s="18">
        <v>7.2450000000000001</v>
      </c>
      <c r="D307" s="13">
        <v>1</v>
      </c>
      <c r="E307" s="18">
        <v>4.7</v>
      </c>
      <c r="F307" s="18">
        <v>7.1</v>
      </c>
      <c r="G307" s="18">
        <v>7.12</v>
      </c>
      <c r="T307" s="10"/>
    </row>
    <row r="308" spans="1:20" x14ac:dyDescent="0.25">
      <c r="A308">
        <v>307</v>
      </c>
      <c r="B308" t="s">
        <v>827</v>
      </c>
      <c r="C308" s="18">
        <v>7.1550000000000002</v>
      </c>
      <c r="D308" s="13">
        <v>1</v>
      </c>
      <c r="E308" s="18">
        <v>4.7</v>
      </c>
      <c r="F308" s="18">
        <v>7</v>
      </c>
      <c r="G308" s="18">
        <v>7.03</v>
      </c>
      <c r="T308" s="10"/>
    </row>
    <row r="309" spans="1:20" x14ac:dyDescent="0.25">
      <c r="A309">
        <v>308</v>
      </c>
      <c r="B309" t="s">
        <v>92</v>
      </c>
      <c r="C309" s="18">
        <v>7.17</v>
      </c>
      <c r="D309" s="13">
        <v>1</v>
      </c>
      <c r="E309" s="18">
        <v>4.7</v>
      </c>
      <c r="F309" s="18">
        <v>6.9</v>
      </c>
      <c r="G309" s="18">
        <v>6.92</v>
      </c>
      <c r="T309" s="10"/>
    </row>
    <row r="310" spans="1:20" x14ac:dyDescent="0.25">
      <c r="A310">
        <v>309</v>
      </c>
      <c r="B310" t="s">
        <v>463</v>
      </c>
      <c r="C310" s="18">
        <v>7.14</v>
      </c>
      <c r="D310" s="13">
        <v>1</v>
      </c>
      <c r="E310" s="18">
        <v>4.5999999999999996</v>
      </c>
      <c r="F310" s="18">
        <v>7.1</v>
      </c>
      <c r="G310" s="18">
        <v>7.14</v>
      </c>
      <c r="T310" s="10"/>
    </row>
    <row r="311" spans="1:20" x14ac:dyDescent="0.25">
      <c r="A311">
        <v>310</v>
      </c>
      <c r="B311" t="s">
        <v>908</v>
      </c>
      <c r="C311" s="18">
        <v>7.13</v>
      </c>
      <c r="D311" s="13">
        <v>1</v>
      </c>
      <c r="E311" s="18">
        <v>4.5999999999999996</v>
      </c>
      <c r="F311" s="18">
        <v>7.1</v>
      </c>
      <c r="G311" s="18">
        <v>7.13</v>
      </c>
      <c r="T311" s="10"/>
    </row>
    <row r="312" spans="1:20" x14ac:dyDescent="0.25">
      <c r="A312">
        <v>311</v>
      </c>
      <c r="B312" t="s">
        <v>883</v>
      </c>
      <c r="C312" s="18">
        <v>7.12</v>
      </c>
      <c r="D312" s="13">
        <v>1</v>
      </c>
      <c r="E312" s="18">
        <v>4.5999999999999996</v>
      </c>
      <c r="F312" s="18">
        <v>7.1</v>
      </c>
      <c r="G312" s="18">
        <v>7.12</v>
      </c>
      <c r="T312" s="10"/>
    </row>
    <row r="313" spans="1:20" x14ac:dyDescent="0.25">
      <c r="A313">
        <v>312</v>
      </c>
      <c r="B313" s="5" t="s">
        <v>888</v>
      </c>
      <c r="C313" s="18">
        <v>7.11</v>
      </c>
      <c r="D313" s="13">
        <v>1</v>
      </c>
      <c r="E313" s="18">
        <v>4.5999999999999996</v>
      </c>
      <c r="F313" s="18">
        <v>7.1</v>
      </c>
      <c r="G313" s="18">
        <v>7.11</v>
      </c>
      <c r="T313" s="10"/>
    </row>
    <row r="314" spans="1:20" x14ac:dyDescent="0.25">
      <c r="A314">
        <v>313</v>
      </c>
      <c r="B314" t="s">
        <v>201</v>
      </c>
      <c r="C314" s="18">
        <v>7.1449999999999996</v>
      </c>
      <c r="D314" s="13">
        <v>1</v>
      </c>
      <c r="E314" s="18">
        <v>4.5999999999999996</v>
      </c>
      <c r="F314" s="18">
        <v>7</v>
      </c>
      <c r="G314" s="18">
        <v>7.02</v>
      </c>
      <c r="T314" s="10"/>
    </row>
    <row r="315" spans="1:20" x14ac:dyDescent="0.25">
      <c r="A315">
        <v>314</v>
      </c>
      <c r="B315" t="s">
        <v>279</v>
      </c>
      <c r="C315" s="18">
        <v>7.1349999999999998</v>
      </c>
      <c r="D315" s="13">
        <v>1</v>
      </c>
      <c r="E315" s="18">
        <v>4.5999999999999996</v>
      </c>
      <c r="F315" s="18">
        <v>7</v>
      </c>
      <c r="G315" s="18">
        <v>7.01</v>
      </c>
      <c r="T315" s="10"/>
    </row>
    <row r="316" spans="1:20" x14ac:dyDescent="0.25">
      <c r="A316">
        <v>315</v>
      </c>
      <c r="B316" t="s">
        <v>521</v>
      </c>
      <c r="C316" s="18">
        <v>7.08</v>
      </c>
      <c r="D316" s="13">
        <v>1</v>
      </c>
      <c r="E316" s="18">
        <v>4.5999999999999996</v>
      </c>
      <c r="F316" s="18">
        <v>6.8</v>
      </c>
      <c r="G316" s="18">
        <v>6.83</v>
      </c>
      <c r="T316" s="10"/>
    </row>
    <row r="317" spans="1:20" x14ac:dyDescent="0.25">
      <c r="A317">
        <v>316</v>
      </c>
      <c r="B317" s="10" t="s">
        <v>513</v>
      </c>
      <c r="C317" s="18">
        <v>7.06</v>
      </c>
      <c r="D317" s="13">
        <v>1</v>
      </c>
      <c r="E317" s="18">
        <v>4.5999999999999996</v>
      </c>
      <c r="F317" s="18">
        <v>6.8</v>
      </c>
      <c r="G317" s="18">
        <v>6.81</v>
      </c>
      <c r="T317" s="10"/>
    </row>
    <row r="318" spans="1:20" x14ac:dyDescent="0.25">
      <c r="A318">
        <v>317</v>
      </c>
      <c r="B318" t="s">
        <v>839</v>
      </c>
      <c r="C318" s="18">
        <v>7.08</v>
      </c>
      <c r="D318" s="13">
        <v>1</v>
      </c>
      <c r="E318" s="18">
        <v>4.5999999999999996</v>
      </c>
      <c r="F318" s="18">
        <v>6.3</v>
      </c>
      <c r="G318" s="18">
        <v>6.33</v>
      </c>
      <c r="T318" s="10"/>
    </row>
    <row r="319" spans="1:20" x14ac:dyDescent="0.25">
      <c r="A319">
        <v>318</v>
      </c>
      <c r="B319" t="s">
        <v>609</v>
      </c>
      <c r="C319" s="18">
        <v>7.07</v>
      </c>
      <c r="D319" s="13">
        <v>1</v>
      </c>
      <c r="E319" s="18">
        <v>4.5999999999999996</v>
      </c>
      <c r="F319" s="18">
        <v>6.3</v>
      </c>
      <c r="G319" s="18">
        <v>6.32</v>
      </c>
      <c r="T319" s="10"/>
    </row>
    <row r="320" spans="1:20" x14ac:dyDescent="0.25">
      <c r="A320">
        <v>319</v>
      </c>
      <c r="B320" t="s">
        <v>858</v>
      </c>
      <c r="C320" s="18">
        <v>7.03</v>
      </c>
      <c r="D320" s="13">
        <v>1</v>
      </c>
      <c r="E320" s="18">
        <v>4.5</v>
      </c>
      <c r="F320" s="18">
        <v>7</v>
      </c>
      <c r="G320" s="18">
        <v>7.03</v>
      </c>
    </row>
    <row r="321" spans="1:7" x14ac:dyDescent="0.25">
      <c r="A321">
        <v>320</v>
      </c>
      <c r="B321" t="s">
        <v>326</v>
      </c>
      <c r="C321" s="18">
        <v>7.02</v>
      </c>
      <c r="D321" s="13">
        <v>1</v>
      </c>
      <c r="E321" s="18">
        <v>4.5</v>
      </c>
      <c r="F321" s="18">
        <v>7</v>
      </c>
      <c r="G321" s="18">
        <v>7.02</v>
      </c>
    </row>
    <row r="322" spans="1:7" x14ac:dyDescent="0.25">
      <c r="A322">
        <v>321</v>
      </c>
      <c r="B322" t="s">
        <v>280</v>
      </c>
      <c r="C322" s="18">
        <v>7.01</v>
      </c>
      <c r="D322" s="13">
        <v>1</v>
      </c>
      <c r="E322" s="18">
        <v>4.5</v>
      </c>
      <c r="F322" s="18">
        <v>7</v>
      </c>
      <c r="G322" s="18">
        <v>7.01</v>
      </c>
    </row>
    <row r="323" spans="1:7" x14ac:dyDescent="0.25">
      <c r="A323">
        <v>322</v>
      </c>
      <c r="B323" t="s">
        <v>522</v>
      </c>
      <c r="C323" s="18">
        <v>6.9550000000000001</v>
      </c>
      <c r="D323" s="13">
        <v>1</v>
      </c>
      <c r="E323" s="18">
        <v>4.5</v>
      </c>
      <c r="F323" s="18">
        <v>6.8</v>
      </c>
      <c r="G323" s="18">
        <v>6.83</v>
      </c>
    </row>
    <row r="324" spans="1:7" x14ac:dyDescent="0.25">
      <c r="A324">
        <v>323</v>
      </c>
      <c r="B324" t="s">
        <v>317</v>
      </c>
      <c r="C324" s="18">
        <v>6.97</v>
      </c>
      <c r="D324" s="13">
        <v>1</v>
      </c>
      <c r="E324" s="18">
        <v>4.5</v>
      </c>
      <c r="F324" s="18">
        <v>6.7</v>
      </c>
      <c r="G324" s="18">
        <v>6.72</v>
      </c>
    </row>
    <row r="325" spans="1:7" x14ac:dyDescent="0.25">
      <c r="A325">
        <v>324</v>
      </c>
      <c r="B325" t="s">
        <v>617</v>
      </c>
      <c r="C325" s="18">
        <v>6.97</v>
      </c>
      <c r="D325" s="13">
        <v>1</v>
      </c>
      <c r="E325" s="18">
        <v>4.5</v>
      </c>
      <c r="F325" s="18">
        <v>6.2</v>
      </c>
      <c r="G325" s="18">
        <v>6.22</v>
      </c>
    </row>
    <row r="326" spans="1:7" x14ac:dyDescent="0.25">
      <c r="A326">
        <v>325</v>
      </c>
      <c r="B326" t="s">
        <v>295</v>
      </c>
      <c r="C326" s="18">
        <v>6.92</v>
      </c>
      <c r="D326" s="13">
        <v>1</v>
      </c>
      <c r="E326" s="18">
        <v>4.4000000000000004</v>
      </c>
      <c r="F326" s="18">
        <v>6.9</v>
      </c>
      <c r="G326" s="18">
        <v>6.92</v>
      </c>
    </row>
    <row r="327" spans="1:7" x14ac:dyDescent="0.25">
      <c r="A327">
        <v>326</v>
      </c>
      <c r="B327" t="s">
        <v>514</v>
      </c>
      <c r="C327" s="18">
        <v>6.9349999999999996</v>
      </c>
      <c r="D327" s="13">
        <v>1</v>
      </c>
      <c r="E327" s="18">
        <v>4.4000000000000004</v>
      </c>
      <c r="F327" s="18">
        <v>6.8</v>
      </c>
      <c r="G327" s="18">
        <v>6.81</v>
      </c>
    </row>
    <row r="328" spans="1:7" x14ac:dyDescent="0.25">
      <c r="A328">
        <v>327</v>
      </c>
      <c r="B328" s="10" t="s">
        <v>817</v>
      </c>
      <c r="C328" s="18">
        <v>6.8550000000000004</v>
      </c>
      <c r="D328" s="13">
        <v>1</v>
      </c>
      <c r="E328" s="18">
        <v>4.4000000000000004</v>
      </c>
      <c r="F328" s="18">
        <v>6.7</v>
      </c>
      <c r="G328" s="18">
        <v>6.73</v>
      </c>
    </row>
    <row r="329" spans="1:7" x14ac:dyDescent="0.25">
      <c r="A329">
        <v>328</v>
      </c>
      <c r="B329" t="s">
        <v>290</v>
      </c>
      <c r="C329" s="18">
        <v>6.88</v>
      </c>
      <c r="D329" s="13">
        <v>1</v>
      </c>
      <c r="E329" s="18">
        <v>4.4000000000000004</v>
      </c>
      <c r="F329" s="18">
        <v>6.6</v>
      </c>
      <c r="G329" s="18">
        <v>6.63</v>
      </c>
    </row>
    <row r="330" spans="1:7" x14ac:dyDescent="0.25">
      <c r="A330">
        <v>329</v>
      </c>
      <c r="B330" t="s">
        <v>797</v>
      </c>
      <c r="C330" s="18">
        <v>6.86</v>
      </c>
      <c r="D330" s="13">
        <v>1</v>
      </c>
      <c r="E330" s="18">
        <v>4.4000000000000004</v>
      </c>
      <c r="F330" s="18">
        <v>6.6</v>
      </c>
      <c r="G330" s="18">
        <v>6.61</v>
      </c>
    </row>
    <row r="331" spans="1:7" x14ac:dyDescent="0.25">
      <c r="A331">
        <v>330</v>
      </c>
      <c r="B331" t="s">
        <v>523</v>
      </c>
      <c r="C331" s="18">
        <v>6.83</v>
      </c>
      <c r="D331" s="13">
        <v>1</v>
      </c>
      <c r="E331" s="18">
        <v>4.3</v>
      </c>
      <c r="F331" s="18">
        <v>6.8</v>
      </c>
      <c r="G331" s="18">
        <v>6.83</v>
      </c>
    </row>
    <row r="332" spans="1:7" x14ac:dyDescent="0.25">
      <c r="A332">
        <v>331</v>
      </c>
      <c r="B332" t="s">
        <v>433</v>
      </c>
      <c r="C332" s="18">
        <v>6.82</v>
      </c>
      <c r="D332" s="13">
        <v>1</v>
      </c>
      <c r="E332" s="18">
        <v>4.3</v>
      </c>
      <c r="F332" s="18">
        <v>6.8</v>
      </c>
      <c r="G332" s="18">
        <v>6.82</v>
      </c>
    </row>
    <row r="333" spans="1:7" x14ac:dyDescent="0.25">
      <c r="A333">
        <v>332</v>
      </c>
      <c r="B333" t="s">
        <v>318</v>
      </c>
      <c r="C333" s="18">
        <v>6.8449999999999998</v>
      </c>
      <c r="D333" s="13">
        <v>1</v>
      </c>
      <c r="E333" s="18">
        <v>4.3</v>
      </c>
      <c r="F333" s="18">
        <v>6.7</v>
      </c>
      <c r="G333" s="18">
        <v>6.72</v>
      </c>
    </row>
    <row r="334" spans="1:7" x14ac:dyDescent="0.25">
      <c r="A334">
        <v>333</v>
      </c>
      <c r="B334" t="s">
        <v>175</v>
      </c>
      <c r="C334" s="18">
        <v>6.835</v>
      </c>
      <c r="D334" s="13">
        <v>1</v>
      </c>
      <c r="E334" s="18">
        <v>4.3</v>
      </c>
      <c r="F334" s="18">
        <v>6.7</v>
      </c>
      <c r="G334" s="18">
        <v>6.71</v>
      </c>
    </row>
    <row r="335" spans="1:7" x14ac:dyDescent="0.25">
      <c r="A335">
        <v>334</v>
      </c>
      <c r="B335" t="s">
        <v>88</v>
      </c>
      <c r="C335" s="18">
        <v>6.7549999999999999</v>
      </c>
      <c r="D335" s="13">
        <v>1</v>
      </c>
      <c r="E335" s="18">
        <v>4.3</v>
      </c>
      <c r="F335" s="18">
        <v>6.6</v>
      </c>
      <c r="G335" s="18">
        <v>6.63</v>
      </c>
    </row>
    <row r="336" spans="1:7" x14ac:dyDescent="0.25">
      <c r="A336">
        <v>335</v>
      </c>
      <c r="B336" s="5" t="s">
        <v>502</v>
      </c>
      <c r="C336" s="18">
        <v>6.78</v>
      </c>
      <c r="D336" s="13">
        <v>1</v>
      </c>
      <c r="E336" s="18">
        <v>4.3</v>
      </c>
      <c r="F336" s="18">
        <v>6.5</v>
      </c>
      <c r="G336" s="18">
        <v>6.53</v>
      </c>
    </row>
    <row r="337" spans="1:7" x14ac:dyDescent="0.25">
      <c r="A337">
        <v>336</v>
      </c>
      <c r="B337" t="s">
        <v>838</v>
      </c>
      <c r="C337" s="18">
        <v>6.73</v>
      </c>
      <c r="D337" s="13">
        <v>1</v>
      </c>
      <c r="E337" s="18">
        <v>4.2</v>
      </c>
      <c r="F337" s="18">
        <v>6.7</v>
      </c>
      <c r="G337" s="18">
        <v>6.73</v>
      </c>
    </row>
    <row r="338" spans="1:7" x14ac:dyDescent="0.25">
      <c r="A338">
        <v>337</v>
      </c>
      <c r="B338" t="s">
        <v>319</v>
      </c>
      <c r="C338" s="18">
        <v>6.72</v>
      </c>
      <c r="D338" s="13">
        <v>1</v>
      </c>
      <c r="E338" s="18">
        <v>4.2</v>
      </c>
      <c r="F338" s="18">
        <v>6.7</v>
      </c>
      <c r="G338" s="18">
        <v>6.72</v>
      </c>
    </row>
    <row r="339" spans="1:7" x14ac:dyDescent="0.25">
      <c r="A339">
        <v>338</v>
      </c>
      <c r="B339" t="s">
        <v>176</v>
      </c>
      <c r="C339" s="18">
        <v>6.71</v>
      </c>
      <c r="D339" s="13">
        <v>1</v>
      </c>
      <c r="E339" s="18">
        <v>4.2</v>
      </c>
      <c r="F339" s="18">
        <v>6.7</v>
      </c>
      <c r="G339" s="18">
        <v>6.71</v>
      </c>
    </row>
    <row r="340" spans="1:7" x14ac:dyDescent="0.25">
      <c r="A340">
        <v>339</v>
      </c>
      <c r="B340" s="10" t="s">
        <v>503</v>
      </c>
      <c r="C340" s="18">
        <v>6.6550000000000002</v>
      </c>
      <c r="D340" s="13">
        <v>1</v>
      </c>
      <c r="E340" s="18">
        <v>4.2</v>
      </c>
      <c r="F340" s="18">
        <v>6.5</v>
      </c>
      <c r="G340" s="18">
        <v>6.53</v>
      </c>
    </row>
    <row r="341" spans="1:7" x14ac:dyDescent="0.25">
      <c r="A341">
        <v>340</v>
      </c>
      <c r="B341" t="s">
        <v>546</v>
      </c>
      <c r="C341" s="18">
        <v>6.67</v>
      </c>
      <c r="D341" s="13">
        <v>1</v>
      </c>
      <c r="E341" s="18">
        <v>4.2</v>
      </c>
      <c r="F341" s="18">
        <v>6.4</v>
      </c>
      <c r="G341" s="18">
        <v>6.42</v>
      </c>
    </row>
    <row r="342" spans="1:7" x14ac:dyDescent="0.25">
      <c r="A342">
        <v>341</v>
      </c>
      <c r="B342" t="s">
        <v>850</v>
      </c>
      <c r="C342" s="18">
        <v>6.66</v>
      </c>
      <c r="D342" s="13">
        <v>1</v>
      </c>
      <c r="E342" s="18">
        <v>4.2</v>
      </c>
      <c r="F342" s="18">
        <v>6.4</v>
      </c>
      <c r="G342" s="18">
        <v>6.41</v>
      </c>
    </row>
    <row r="343" spans="1:7" x14ac:dyDescent="0.25">
      <c r="A343">
        <v>342</v>
      </c>
      <c r="B343" t="s">
        <v>343</v>
      </c>
      <c r="C343" s="18">
        <v>10.955</v>
      </c>
      <c r="D343" s="13">
        <v>2</v>
      </c>
      <c r="E343" s="18">
        <v>4.2</v>
      </c>
      <c r="F343" s="18">
        <v>5.4</v>
      </c>
      <c r="G343" s="18">
        <v>10.83</v>
      </c>
    </row>
    <row r="344" spans="1:7" x14ac:dyDescent="0.25">
      <c r="A344">
        <v>343</v>
      </c>
      <c r="B344" t="s">
        <v>309</v>
      </c>
      <c r="C344" s="18">
        <v>6.68</v>
      </c>
      <c r="D344" s="13">
        <v>1</v>
      </c>
      <c r="E344" s="18">
        <v>4.2</v>
      </c>
      <c r="F344" s="18">
        <v>5.9</v>
      </c>
      <c r="G344" s="18">
        <v>5.93</v>
      </c>
    </row>
    <row r="345" spans="1:7" x14ac:dyDescent="0.25">
      <c r="A345">
        <v>344</v>
      </c>
      <c r="B345" t="s">
        <v>798</v>
      </c>
      <c r="C345" s="18">
        <v>6.61</v>
      </c>
      <c r="D345" s="13">
        <v>1</v>
      </c>
      <c r="E345" s="18">
        <v>4.0999999999999996</v>
      </c>
      <c r="F345" s="18">
        <v>6.6</v>
      </c>
      <c r="G345" s="18">
        <v>6.61</v>
      </c>
    </row>
    <row r="346" spans="1:7" x14ac:dyDescent="0.25">
      <c r="A346">
        <v>345</v>
      </c>
      <c r="B346" t="s">
        <v>819</v>
      </c>
      <c r="C346" s="18">
        <v>6.6449999999999996</v>
      </c>
      <c r="D346" s="13">
        <v>1</v>
      </c>
      <c r="E346" s="18">
        <v>4.0999999999999996</v>
      </c>
      <c r="F346" s="18">
        <v>6.5</v>
      </c>
      <c r="G346" s="18">
        <v>6.52</v>
      </c>
    </row>
    <row r="347" spans="1:7" x14ac:dyDescent="0.25">
      <c r="A347">
        <v>346</v>
      </c>
      <c r="B347" t="s">
        <v>178</v>
      </c>
      <c r="C347" s="18">
        <v>6.6349999999999998</v>
      </c>
      <c r="D347" s="13">
        <v>1</v>
      </c>
      <c r="E347" s="18">
        <v>4.0999999999999996</v>
      </c>
      <c r="F347" s="18">
        <v>6.5</v>
      </c>
      <c r="G347" s="18">
        <v>6.51</v>
      </c>
    </row>
    <row r="348" spans="1:7" x14ac:dyDescent="0.25">
      <c r="A348">
        <v>347</v>
      </c>
      <c r="B348" t="s">
        <v>826</v>
      </c>
      <c r="C348" s="18">
        <v>6.58</v>
      </c>
      <c r="D348" s="13">
        <v>1</v>
      </c>
      <c r="E348" s="18">
        <v>4.0999999999999996</v>
      </c>
      <c r="F348" s="18">
        <v>6.3</v>
      </c>
      <c r="G348" s="18">
        <v>6.33</v>
      </c>
    </row>
    <row r="349" spans="1:7" x14ac:dyDescent="0.25">
      <c r="A349">
        <v>348</v>
      </c>
      <c r="B349" t="s">
        <v>615</v>
      </c>
      <c r="C349" s="18">
        <v>6.57</v>
      </c>
      <c r="D349" s="13">
        <v>1</v>
      </c>
      <c r="E349" s="18">
        <v>4.0999999999999996</v>
      </c>
      <c r="F349" s="18">
        <v>6.3</v>
      </c>
      <c r="G349" s="18">
        <v>6.32</v>
      </c>
    </row>
    <row r="350" spans="1:7" x14ac:dyDescent="0.25">
      <c r="A350">
        <v>349</v>
      </c>
      <c r="B350" t="s">
        <v>504</v>
      </c>
      <c r="C350" s="18">
        <v>6.53</v>
      </c>
      <c r="D350" s="13">
        <v>1</v>
      </c>
      <c r="E350" s="18">
        <v>4</v>
      </c>
      <c r="F350" s="18">
        <v>6.5</v>
      </c>
      <c r="G350" s="18">
        <v>6.53</v>
      </c>
    </row>
    <row r="351" spans="1:7" x14ac:dyDescent="0.25">
      <c r="A351">
        <v>350</v>
      </c>
      <c r="B351" t="s">
        <v>831</v>
      </c>
      <c r="C351" s="18">
        <v>6.52</v>
      </c>
      <c r="D351" s="13">
        <v>1</v>
      </c>
      <c r="E351" s="18">
        <v>4</v>
      </c>
      <c r="F351" s="18">
        <v>6.5</v>
      </c>
      <c r="G351" s="18">
        <v>6.52</v>
      </c>
    </row>
    <row r="352" spans="1:7" x14ac:dyDescent="0.25">
      <c r="A352">
        <v>351</v>
      </c>
      <c r="B352" t="s">
        <v>179</v>
      </c>
      <c r="C352" s="18">
        <v>6.51</v>
      </c>
      <c r="D352" s="13">
        <v>1</v>
      </c>
      <c r="E352" s="18">
        <v>4</v>
      </c>
      <c r="F352" s="18">
        <v>6.5</v>
      </c>
      <c r="G352" s="18">
        <v>6.51</v>
      </c>
    </row>
    <row r="353" spans="1:7" x14ac:dyDescent="0.25">
      <c r="A353">
        <v>352</v>
      </c>
      <c r="B353" t="s">
        <v>547</v>
      </c>
      <c r="C353" s="18">
        <v>6.5449999999999999</v>
      </c>
      <c r="D353" s="13">
        <v>1</v>
      </c>
      <c r="E353" s="18">
        <v>4</v>
      </c>
      <c r="F353" s="18">
        <v>6.4</v>
      </c>
      <c r="G353" s="18">
        <v>6.42</v>
      </c>
    </row>
    <row r="354" spans="1:7" x14ac:dyDescent="0.25">
      <c r="A354">
        <v>353</v>
      </c>
      <c r="B354" t="s">
        <v>820</v>
      </c>
      <c r="C354" s="18">
        <v>6.5350000000000001</v>
      </c>
      <c r="D354" s="13">
        <v>1</v>
      </c>
      <c r="E354" s="18">
        <v>4</v>
      </c>
      <c r="F354" s="18">
        <v>6.4</v>
      </c>
      <c r="G354" s="18">
        <v>6.41</v>
      </c>
    </row>
    <row r="355" spans="1:7" x14ac:dyDescent="0.25">
      <c r="A355">
        <v>354</v>
      </c>
      <c r="B355" t="s">
        <v>435</v>
      </c>
      <c r="C355" s="18">
        <v>6.48</v>
      </c>
      <c r="D355" s="13">
        <v>1</v>
      </c>
      <c r="E355" s="18">
        <v>4</v>
      </c>
      <c r="F355" s="18">
        <v>6.2</v>
      </c>
      <c r="G355" s="18">
        <v>6.23</v>
      </c>
    </row>
    <row r="356" spans="1:7" x14ac:dyDescent="0.25">
      <c r="A356">
        <v>355</v>
      </c>
      <c r="B356" t="s">
        <v>451</v>
      </c>
      <c r="C356" s="18">
        <v>6.46</v>
      </c>
      <c r="D356" s="13">
        <v>1</v>
      </c>
      <c r="E356" s="18">
        <v>4</v>
      </c>
      <c r="F356" s="18">
        <v>6.2</v>
      </c>
      <c r="G356" s="18">
        <v>6.21</v>
      </c>
    </row>
    <row r="357" spans="1:7" x14ac:dyDescent="0.25">
      <c r="A357">
        <v>356</v>
      </c>
      <c r="B357" t="s">
        <v>483</v>
      </c>
      <c r="C357" s="18">
        <v>6.48</v>
      </c>
      <c r="D357" s="13">
        <v>1</v>
      </c>
      <c r="E357" s="18">
        <v>4</v>
      </c>
      <c r="F357" s="18">
        <v>5.7</v>
      </c>
      <c r="G357" s="18">
        <v>5.73</v>
      </c>
    </row>
    <row r="358" spans="1:7" x14ac:dyDescent="0.25">
      <c r="A358">
        <v>357</v>
      </c>
      <c r="B358" t="s">
        <v>489</v>
      </c>
      <c r="C358" s="18">
        <v>6.43</v>
      </c>
      <c r="D358" s="13">
        <v>1</v>
      </c>
      <c r="E358" s="18">
        <v>3.9</v>
      </c>
      <c r="F358" s="18">
        <v>6.4</v>
      </c>
      <c r="G358" s="18">
        <v>6.43</v>
      </c>
    </row>
    <row r="359" spans="1:7" x14ac:dyDescent="0.25">
      <c r="A359">
        <v>358</v>
      </c>
      <c r="B359" t="s">
        <v>548</v>
      </c>
      <c r="C359" s="18">
        <v>6.42</v>
      </c>
      <c r="D359" s="13">
        <v>1</v>
      </c>
      <c r="E359" s="18">
        <v>3.9</v>
      </c>
      <c r="F359" s="18">
        <v>6.4</v>
      </c>
      <c r="G359" s="18">
        <v>6.42</v>
      </c>
    </row>
    <row r="360" spans="1:7" x14ac:dyDescent="0.25">
      <c r="A360">
        <v>359</v>
      </c>
      <c r="B360" t="s">
        <v>849</v>
      </c>
      <c r="C360" s="18">
        <v>6.41</v>
      </c>
      <c r="D360" s="13">
        <v>1</v>
      </c>
      <c r="E360" s="18">
        <v>3.9</v>
      </c>
      <c r="F360" s="18">
        <v>6.4</v>
      </c>
      <c r="G360" s="18">
        <v>6.41</v>
      </c>
    </row>
    <row r="361" spans="1:7" x14ac:dyDescent="0.25">
      <c r="A361">
        <v>360</v>
      </c>
      <c r="B361" t="s">
        <v>721</v>
      </c>
      <c r="C361" s="18">
        <v>6.4450000000000003</v>
      </c>
      <c r="D361" s="13">
        <v>1</v>
      </c>
      <c r="E361" s="18">
        <v>3.9</v>
      </c>
      <c r="F361" s="18">
        <v>6.3</v>
      </c>
      <c r="G361" s="18">
        <v>6.32</v>
      </c>
    </row>
    <row r="362" spans="1:7" x14ac:dyDescent="0.25">
      <c r="A362">
        <v>361</v>
      </c>
      <c r="B362" t="s">
        <v>431</v>
      </c>
      <c r="C362" s="18">
        <v>6.4349999999999996</v>
      </c>
      <c r="D362" s="13">
        <v>1</v>
      </c>
      <c r="E362" s="18">
        <v>3.9</v>
      </c>
      <c r="F362" s="18">
        <v>6.3</v>
      </c>
      <c r="G362" s="18">
        <v>6.31</v>
      </c>
    </row>
    <row r="363" spans="1:7" x14ac:dyDescent="0.25">
      <c r="A363">
        <v>362</v>
      </c>
      <c r="B363" t="s">
        <v>436</v>
      </c>
      <c r="C363" s="18">
        <v>6.3550000000000004</v>
      </c>
      <c r="D363" s="13">
        <v>1</v>
      </c>
      <c r="E363" s="18">
        <v>3.9</v>
      </c>
      <c r="F363" s="18">
        <v>6.2</v>
      </c>
      <c r="G363" s="18">
        <v>6.23</v>
      </c>
    </row>
    <row r="364" spans="1:7" x14ac:dyDescent="0.25">
      <c r="A364">
        <v>363</v>
      </c>
      <c r="B364" t="s">
        <v>810</v>
      </c>
      <c r="C364" s="18">
        <v>6.36</v>
      </c>
      <c r="D364" s="13">
        <v>1</v>
      </c>
      <c r="E364" s="18">
        <v>3.9</v>
      </c>
      <c r="F364" s="18">
        <v>6.1</v>
      </c>
      <c r="G364" s="18">
        <v>6.11</v>
      </c>
    </row>
    <row r="365" spans="1:7" x14ac:dyDescent="0.25">
      <c r="A365">
        <v>364</v>
      </c>
      <c r="B365" t="s">
        <v>948</v>
      </c>
      <c r="C365" s="18">
        <v>6.33</v>
      </c>
      <c r="D365" s="13">
        <v>1</v>
      </c>
      <c r="E365" s="18">
        <v>3.8</v>
      </c>
      <c r="F365" s="18">
        <v>6.3</v>
      </c>
      <c r="G365" s="18">
        <v>6.33</v>
      </c>
    </row>
    <row r="366" spans="1:7" x14ac:dyDescent="0.25">
      <c r="A366">
        <v>365</v>
      </c>
      <c r="B366" t="s">
        <v>722</v>
      </c>
      <c r="C366" s="18">
        <v>6.32</v>
      </c>
      <c r="D366" s="13">
        <v>1</v>
      </c>
      <c r="E366" s="18">
        <v>3.8</v>
      </c>
      <c r="F366" s="18">
        <v>6.3</v>
      </c>
      <c r="G366" s="18">
        <v>6.32</v>
      </c>
    </row>
    <row r="367" spans="1:7" x14ac:dyDescent="0.25">
      <c r="A367">
        <v>366</v>
      </c>
      <c r="B367" t="s">
        <v>452</v>
      </c>
      <c r="C367" s="18">
        <v>6.335</v>
      </c>
      <c r="D367" s="13">
        <v>1</v>
      </c>
      <c r="E367" s="18">
        <v>3.8</v>
      </c>
      <c r="F367" s="18">
        <v>6.2</v>
      </c>
      <c r="G367" s="18">
        <v>6.21</v>
      </c>
    </row>
    <row r="368" spans="1:7" x14ac:dyDescent="0.25">
      <c r="A368">
        <v>367</v>
      </c>
      <c r="B368" t="s">
        <v>79</v>
      </c>
      <c r="C368" s="18">
        <v>6.26</v>
      </c>
      <c r="D368" s="13">
        <v>1</v>
      </c>
      <c r="E368" s="18">
        <v>3.8</v>
      </c>
      <c r="F368" s="18">
        <v>6</v>
      </c>
      <c r="G368" s="18">
        <v>6.01</v>
      </c>
    </row>
    <row r="369" spans="1:7" x14ac:dyDescent="0.25">
      <c r="A369">
        <v>368</v>
      </c>
      <c r="B369" t="s">
        <v>52</v>
      </c>
      <c r="C369" s="18">
        <v>9.93</v>
      </c>
      <c r="D369" s="13">
        <v>2</v>
      </c>
      <c r="E369" s="18">
        <v>3.7</v>
      </c>
      <c r="F369" s="18">
        <v>4.5</v>
      </c>
      <c r="G369" s="18">
        <v>8.93</v>
      </c>
    </row>
    <row r="370" spans="1:7" x14ac:dyDescent="0.25">
      <c r="A370">
        <v>369</v>
      </c>
      <c r="B370" t="s">
        <v>437</v>
      </c>
      <c r="C370" s="18">
        <v>6.23</v>
      </c>
      <c r="D370" s="13">
        <v>1</v>
      </c>
      <c r="E370" s="18">
        <v>3.7</v>
      </c>
      <c r="F370" s="18">
        <v>6.2</v>
      </c>
      <c r="G370" s="18">
        <v>6.23</v>
      </c>
    </row>
    <row r="371" spans="1:7" x14ac:dyDescent="0.25">
      <c r="A371">
        <v>370</v>
      </c>
      <c r="B371" s="10" t="s">
        <v>453</v>
      </c>
      <c r="C371" s="18">
        <v>6.21</v>
      </c>
      <c r="D371" s="13">
        <v>1</v>
      </c>
      <c r="E371" s="18">
        <v>3.7</v>
      </c>
      <c r="F371" s="18">
        <v>6.2</v>
      </c>
      <c r="G371" s="18">
        <v>6.21</v>
      </c>
    </row>
    <row r="372" spans="1:7" x14ac:dyDescent="0.25">
      <c r="A372">
        <v>371</v>
      </c>
      <c r="B372" t="s">
        <v>832</v>
      </c>
      <c r="C372" s="18">
        <v>6.2350000000000003</v>
      </c>
      <c r="D372" s="13">
        <v>1</v>
      </c>
      <c r="E372" s="18">
        <v>3.7</v>
      </c>
      <c r="F372" s="18">
        <v>6.1</v>
      </c>
      <c r="G372" s="18">
        <v>6.11</v>
      </c>
    </row>
    <row r="373" spans="1:7" x14ac:dyDescent="0.25">
      <c r="A373">
        <v>372</v>
      </c>
      <c r="B373" t="s">
        <v>324</v>
      </c>
      <c r="C373" s="18">
        <v>6.1550000000000002</v>
      </c>
      <c r="D373" s="13">
        <v>1</v>
      </c>
      <c r="E373" s="18">
        <v>3.7</v>
      </c>
      <c r="F373" s="18">
        <v>6</v>
      </c>
      <c r="G373" s="18">
        <v>6.03</v>
      </c>
    </row>
    <row r="374" spans="1:7" x14ac:dyDescent="0.25">
      <c r="A374">
        <v>373</v>
      </c>
      <c r="B374" t="s">
        <v>310</v>
      </c>
      <c r="C374" s="18">
        <v>6.18</v>
      </c>
      <c r="D374" s="13">
        <v>1</v>
      </c>
      <c r="E374" s="18">
        <v>3.7</v>
      </c>
      <c r="F374" s="18">
        <v>5.9</v>
      </c>
      <c r="G374" s="18">
        <v>5.93</v>
      </c>
    </row>
    <row r="375" spans="1:7" x14ac:dyDescent="0.25">
      <c r="A375">
        <v>374</v>
      </c>
      <c r="B375" t="s">
        <v>449</v>
      </c>
      <c r="C375" s="18">
        <v>6.17</v>
      </c>
      <c r="D375" s="13">
        <v>1</v>
      </c>
      <c r="E375" s="18">
        <v>3.7</v>
      </c>
      <c r="F375" s="18">
        <v>5.9</v>
      </c>
      <c r="G375" s="18">
        <v>5.92</v>
      </c>
    </row>
    <row r="376" spans="1:7" x14ac:dyDescent="0.25">
      <c r="A376">
        <v>375</v>
      </c>
      <c r="B376" t="s">
        <v>448</v>
      </c>
      <c r="C376" s="18">
        <v>6.12</v>
      </c>
      <c r="D376" s="13">
        <v>1</v>
      </c>
      <c r="E376" s="18">
        <v>3.6</v>
      </c>
      <c r="F376" s="18">
        <v>6.1</v>
      </c>
      <c r="G376" s="18">
        <v>6.12</v>
      </c>
    </row>
    <row r="377" spans="1:7" x14ac:dyDescent="0.25">
      <c r="A377">
        <v>376</v>
      </c>
      <c r="B377" t="s">
        <v>816</v>
      </c>
      <c r="C377" s="18">
        <v>6.11</v>
      </c>
      <c r="D377" s="13">
        <v>1</v>
      </c>
      <c r="E377" s="18">
        <v>3.6</v>
      </c>
      <c r="F377" s="18">
        <v>6.1</v>
      </c>
      <c r="G377" s="18">
        <v>6.11</v>
      </c>
    </row>
    <row r="378" spans="1:7" x14ac:dyDescent="0.25">
      <c r="A378">
        <v>377</v>
      </c>
      <c r="B378" t="s">
        <v>282</v>
      </c>
      <c r="C378" s="18">
        <v>6.1349999999999998</v>
      </c>
      <c r="D378" s="13">
        <v>1</v>
      </c>
      <c r="E378" s="18">
        <v>3.6</v>
      </c>
      <c r="F378" s="18">
        <v>6</v>
      </c>
      <c r="G378" s="18">
        <v>6.01</v>
      </c>
    </row>
    <row r="379" spans="1:7" x14ac:dyDescent="0.25">
      <c r="A379">
        <v>378</v>
      </c>
      <c r="B379" t="s">
        <v>311</v>
      </c>
      <c r="C379" s="18">
        <v>6.0549999999999997</v>
      </c>
      <c r="D379" s="13">
        <v>1</v>
      </c>
      <c r="E379" s="18">
        <v>3.6</v>
      </c>
      <c r="F379" s="18">
        <v>5.9</v>
      </c>
      <c r="G379" s="18">
        <v>5.93</v>
      </c>
    </row>
    <row r="380" spans="1:7" x14ac:dyDescent="0.25">
      <c r="A380">
        <v>379</v>
      </c>
      <c r="B380" s="10" t="s">
        <v>391</v>
      </c>
      <c r="C380" s="18">
        <v>6.08</v>
      </c>
      <c r="D380" s="13">
        <v>1</v>
      </c>
      <c r="E380" s="18">
        <v>3.6</v>
      </c>
      <c r="F380" s="18">
        <v>5.8</v>
      </c>
      <c r="G380" s="18">
        <v>5.83</v>
      </c>
    </row>
    <row r="381" spans="1:7" x14ac:dyDescent="0.25">
      <c r="A381">
        <v>380</v>
      </c>
      <c r="B381" t="s">
        <v>559</v>
      </c>
      <c r="C381" s="18">
        <v>6.06</v>
      </c>
      <c r="D381" s="13">
        <v>1</v>
      </c>
      <c r="E381" s="18">
        <v>3.6</v>
      </c>
      <c r="F381" s="18">
        <v>5.3</v>
      </c>
      <c r="G381" s="18">
        <v>5.31</v>
      </c>
    </row>
    <row r="382" spans="1:7" x14ac:dyDescent="0.25">
      <c r="A382">
        <v>381</v>
      </c>
      <c r="B382" t="s">
        <v>283</v>
      </c>
      <c r="C382" s="18">
        <v>6.01</v>
      </c>
      <c r="D382" s="13">
        <v>1</v>
      </c>
      <c r="E382" s="18">
        <v>3.5</v>
      </c>
      <c r="F382" s="18">
        <v>6</v>
      </c>
      <c r="G382" s="18">
        <v>6.01</v>
      </c>
    </row>
    <row r="383" spans="1:7" x14ac:dyDescent="0.25">
      <c r="A383">
        <v>382</v>
      </c>
      <c r="B383" t="s">
        <v>376</v>
      </c>
      <c r="C383" s="18">
        <v>6.0350000000000001</v>
      </c>
      <c r="D383" s="13">
        <v>1</v>
      </c>
      <c r="E383" s="18">
        <v>3.5</v>
      </c>
      <c r="F383" s="18">
        <v>5.9</v>
      </c>
      <c r="G383" s="18">
        <v>5.91</v>
      </c>
    </row>
    <row r="384" spans="1:7" x14ac:dyDescent="0.25">
      <c r="A384">
        <v>383</v>
      </c>
      <c r="B384" t="s">
        <v>392</v>
      </c>
      <c r="C384" s="18">
        <v>5.9550000000000001</v>
      </c>
      <c r="D384" s="13">
        <v>1</v>
      </c>
      <c r="E384" s="18">
        <v>3.5</v>
      </c>
      <c r="F384" s="18">
        <v>5.8</v>
      </c>
      <c r="G384" s="18">
        <v>5.83</v>
      </c>
    </row>
    <row r="385" spans="1:7" x14ac:dyDescent="0.25">
      <c r="A385">
        <v>384</v>
      </c>
      <c r="B385" s="10" t="s">
        <v>408</v>
      </c>
      <c r="C385" s="18">
        <v>5.96</v>
      </c>
      <c r="D385" s="13">
        <v>1</v>
      </c>
      <c r="E385" s="18">
        <v>3.5</v>
      </c>
      <c r="F385" s="18">
        <v>5.7</v>
      </c>
      <c r="G385" s="18">
        <v>5.71</v>
      </c>
    </row>
    <row r="386" spans="1:7" x14ac:dyDescent="0.25">
      <c r="A386">
        <v>385</v>
      </c>
      <c r="B386" t="s">
        <v>99</v>
      </c>
      <c r="C386" s="18">
        <v>5.97</v>
      </c>
      <c r="D386" s="13">
        <v>1</v>
      </c>
      <c r="E386" s="18">
        <v>3.5</v>
      </c>
      <c r="F386" s="18">
        <v>5.2</v>
      </c>
      <c r="G386" s="18">
        <v>5.22</v>
      </c>
    </row>
    <row r="387" spans="1:7" x14ac:dyDescent="0.25">
      <c r="A387">
        <v>386</v>
      </c>
      <c r="B387" t="s">
        <v>303</v>
      </c>
      <c r="C387" s="18">
        <v>5.96</v>
      </c>
      <c r="D387" s="13">
        <v>1</v>
      </c>
      <c r="E387" s="18">
        <v>3.5</v>
      </c>
      <c r="F387" s="18">
        <v>5.2</v>
      </c>
      <c r="G387" s="18">
        <v>5.21</v>
      </c>
    </row>
    <row r="388" spans="1:7" x14ac:dyDescent="0.25">
      <c r="A388">
        <v>387</v>
      </c>
      <c r="B388" t="s">
        <v>362</v>
      </c>
      <c r="C388" s="18">
        <v>9.36</v>
      </c>
      <c r="D388" s="13">
        <v>2</v>
      </c>
      <c r="E388" s="18">
        <v>3.4</v>
      </c>
      <c r="F388" s="18">
        <v>4.5999999999999996</v>
      </c>
      <c r="G388" s="18">
        <v>9.11</v>
      </c>
    </row>
    <row r="389" spans="1:7" x14ac:dyDescent="0.25">
      <c r="A389">
        <v>388</v>
      </c>
      <c r="B389" s="10" t="s">
        <v>312</v>
      </c>
      <c r="C389" s="18">
        <v>5.93</v>
      </c>
      <c r="D389" s="13">
        <v>1</v>
      </c>
      <c r="E389" s="18">
        <v>3.4</v>
      </c>
      <c r="F389" s="18">
        <v>5.9</v>
      </c>
      <c r="G389" s="18">
        <v>5.93</v>
      </c>
    </row>
    <row r="390" spans="1:7" x14ac:dyDescent="0.25">
      <c r="A390">
        <v>389</v>
      </c>
      <c r="B390" t="s">
        <v>905</v>
      </c>
      <c r="C390" s="18">
        <v>5.88</v>
      </c>
      <c r="D390" s="13">
        <v>1</v>
      </c>
      <c r="E390" s="18">
        <v>3.4</v>
      </c>
      <c r="F390" s="18">
        <v>5.6</v>
      </c>
      <c r="G390" s="18">
        <v>5.63</v>
      </c>
    </row>
    <row r="391" spans="1:7" x14ac:dyDescent="0.25">
      <c r="A391">
        <v>390</v>
      </c>
      <c r="B391" t="s">
        <v>336</v>
      </c>
      <c r="C391" s="18">
        <v>5.88</v>
      </c>
      <c r="D391" s="13">
        <v>1</v>
      </c>
      <c r="E391" s="18">
        <v>3.4</v>
      </c>
      <c r="F391" s="18">
        <v>5.0999999999999996</v>
      </c>
      <c r="G391" s="18">
        <v>5.13</v>
      </c>
    </row>
    <row r="392" spans="1:7" x14ac:dyDescent="0.25">
      <c r="A392">
        <v>391</v>
      </c>
      <c r="B392" s="10" t="s">
        <v>896</v>
      </c>
      <c r="C392" s="18">
        <v>5.87</v>
      </c>
      <c r="D392" s="13">
        <v>1</v>
      </c>
      <c r="E392" s="18">
        <v>3.4</v>
      </c>
      <c r="F392" s="18">
        <v>5.0999999999999996</v>
      </c>
      <c r="G392" s="18">
        <v>5.12</v>
      </c>
    </row>
    <row r="393" spans="1:7" x14ac:dyDescent="0.25">
      <c r="A393">
        <v>392</v>
      </c>
      <c r="B393" s="10" t="s">
        <v>890</v>
      </c>
      <c r="C393" s="18">
        <v>5.86</v>
      </c>
      <c r="D393" s="13">
        <v>1</v>
      </c>
      <c r="E393" s="18">
        <v>3.4</v>
      </c>
      <c r="F393" s="18">
        <v>5.0999999999999996</v>
      </c>
      <c r="G393" s="18">
        <v>5.1100000000000003</v>
      </c>
    </row>
    <row r="394" spans="1:7" x14ac:dyDescent="0.25">
      <c r="A394">
        <v>393</v>
      </c>
      <c r="B394" t="s">
        <v>330</v>
      </c>
      <c r="C394" s="18">
        <v>9.1349999999999998</v>
      </c>
      <c r="D394" s="13">
        <v>2</v>
      </c>
      <c r="E394" s="18">
        <v>3.3</v>
      </c>
      <c r="F394" s="18">
        <v>4.5</v>
      </c>
      <c r="G394" s="18">
        <v>9.01</v>
      </c>
    </row>
    <row r="395" spans="1:7" x14ac:dyDescent="0.25">
      <c r="A395">
        <v>394</v>
      </c>
      <c r="B395" t="s">
        <v>844</v>
      </c>
      <c r="C395" s="18">
        <v>5.81</v>
      </c>
      <c r="D395" s="4">
        <v>1</v>
      </c>
      <c r="E395" s="18">
        <v>3.3</v>
      </c>
      <c r="F395" s="18">
        <v>5.8</v>
      </c>
      <c r="G395" s="18">
        <v>5.81</v>
      </c>
    </row>
    <row r="396" spans="1:7" x14ac:dyDescent="0.25">
      <c r="A396">
        <v>395</v>
      </c>
      <c r="B396" t="s">
        <v>409</v>
      </c>
      <c r="C396" s="18">
        <v>5.835</v>
      </c>
      <c r="D396" s="13">
        <v>1</v>
      </c>
      <c r="E396" s="18">
        <v>3.3</v>
      </c>
      <c r="F396" s="18">
        <v>5.7</v>
      </c>
      <c r="G396" s="18">
        <v>5.71</v>
      </c>
    </row>
    <row r="397" spans="1:7" x14ac:dyDescent="0.25">
      <c r="A397">
        <v>396</v>
      </c>
      <c r="B397" t="s">
        <v>578</v>
      </c>
      <c r="C397" s="18">
        <v>5.7549999999999999</v>
      </c>
      <c r="D397" s="13">
        <v>1</v>
      </c>
      <c r="E397" s="18">
        <v>3.3</v>
      </c>
      <c r="F397" s="18">
        <v>5.6</v>
      </c>
      <c r="G397" s="18">
        <v>5.63</v>
      </c>
    </row>
    <row r="398" spans="1:7" x14ac:dyDescent="0.25">
      <c r="A398">
        <v>397</v>
      </c>
      <c r="B398" t="s">
        <v>818</v>
      </c>
      <c r="C398" s="18">
        <v>5.78</v>
      </c>
      <c r="D398" s="13">
        <v>1</v>
      </c>
      <c r="E398" s="18">
        <v>3.3</v>
      </c>
      <c r="F398" s="18">
        <v>5.5</v>
      </c>
      <c r="G398" s="18">
        <v>5.53</v>
      </c>
    </row>
    <row r="399" spans="1:7" x14ac:dyDescent="0.25">
      <c r="A399">
        <v>398</v>
      </c>
      <c r="B399" t="s">
        <v>117</v>
      </c>
      <c r="C399" s="18">
        <v>5.77</v>
      </c>
      <c r="D399" s="13">
        <v>1</v>
      </c>
      <c r="E399" s="18">
        <v>3.3</v>
      </c>
      <c r="F399" s="18">
        <v>5.5</v>
      </c>
      <c r="G399" s="18">
        <v>5.52</v>
      </c>
    </row>
    <row r="400" spans="1:7" x14ac:dyDescent="0.25">
      <c r="A400">
        <v>399</v>
      </c>
      <c r="B400" t="s">
        <v>222</v>
      </c>
      <c r="C400" s="18">
        <v>9.08</v>
      </c>
      <c r="D400" s="13">
        <v>2</v>
      </c>
      <c r="E400" s="18">
        <v>3.3</v>
      </c>
      <c r="F400" s="18">
        <v>4.4000000000000004</v>
      </c>
      <c r="G400" s="18">
        <v>8.83</v>
      </c>
    </row>
    <row r="401" spans="1:7" x14ac:dyDescent="0.25">
      <c r="A401">
        <v>400</v>
      </c>
      <c r="B401" t="s">
        <v>841</v>
      </c>
      <c r="C401" s="18">
        <v>5.77</v>
      </c>
      <c r="D401" s="13">
        <v>1</v>
      </c>
      <c r="E401" s="18">
        <v>3.3</v>
      </c>
      <c r="F401" s="18">
        <v>5</v>
      </c>
      <c r="G401" s="18">
        <v>5.0199999999999996</v>
      </c>
    </row>
    <row r="402" spans="1:7" x14ac:dyDescent="0.25">
      <c r="A402">
        <v>401</v>
      </c>
      <c r="B402" t="s">
        <v>638</v>
      </c>
      <c r="C402" s="18">
        <v>5.76</v>
      </c>
      <c r="D402" s="13">
        <v>1</v>
      </c>
      <c r="E402" s="18">
        <v>3.3</v>
      </c>
      <c r="F402" s="18">
        <v>5</v>
      </c>
      <c r="G402" s="18">
        <v>5.01</v>
      </c>
    </row>
    <row r="403" spans="1:7" x14ac:dyDescent="0.25">
      <c r="A403">
        <v>402</v>
      </c>
      <c r="B403" s="5" t="s">
        <v>486</v>
      </c>
      <c r="C403" s="18">
        <v>8.93</v>
      </c>
      <c r="D403" s="13">
        <v>2</v>
      </c>
      <c r="E403" s="18">
        <v>3.2</v>
      </c>
      <c r="F403" s="18">
        <v>4</v>
      </c>
      <c r="G403" s="18">
        <v>7.93</v>
      </c>
    </row>
    <row r="404" spans="1:7" x14ac:dyDescent="0.25">
      <c r="A404">
        <v>403</v>
      </c>
      <c r="B404" t="s">
        <v>484</v>
      </c>
      <c r="C404" s="18">
        <v>5.73</v>
      </c>
      <c r="D404" s="13">
        <v>1</v>
      </c>
      <c r="E404" s="18">
        <v>3.2</v>
      </c>
      <c r="F404" s="18">
        <v>5.7</v>
      </c>
      <c r="G404" s="18">
        <v>5.73</v>
      </c>
    </row>
    <row r="405" spans="1:7" x14ac:dyDescent="0.25">
      <c r="A405">
        <v>404</v>
      </c>
      <c r="B405" t="s">
        <v>410</v>
      </c>
      <c r="C405" s="18">
        <v>5.71</v>
      </c>
      <c r="D405" s="13">
        <v>1</v>
      </c>
      <c r="E405" s="18">
        <v>3.2</v>
      </c>
      <c r="F405" s="18">
        <v>5.7</v>
      </c>
      <c r="G405" s="18">
        <v>5.71</v>
      </c>
    </row>
    <row r="406" spans="1:7" x14ac:dyDescent="0.25">
      <c r="A406">
        <v>405</v>
      </c>
      <c r="B406" t="s">
        <v>941</v>
      </c>
      <c r="C406" s="18">
        <v>5.6550000000000002</v>
      </c>
      <c r="D406" s="13">
        <v>1</v>
      </c>
      <c r="E406" s="18">
        <v>3.2</v>
      </c>
      <c r="F406" s="18">
        <v>5.5</v>
      </c>
      <c r="G406" s="18">
        <v>5.53</v>
      </c>
    </row>
    <row r="407" spans="1:7" x14ac:dyDescent="0.25">
      <c r="A407">
        <v>406</v>
      </c>
      <c r="B407" t="s">
        <v>901</v>
      </c>
      <c r="C407" s="18">
        <v>5.67</v>
      </c>
      <c r="D407" s="13">
        <v>1</v>
      </c>
      <c r="E407" s="18">
        <v>3.2</v>
      </c>
      <c r="F407" s="18">
        <v>5.4</v>
      </c>
      <c r="G407" s="18">
        <v>5.42</v>
      </c>
    </row>
    <row r="408" spans="1:7" x14ac:dyDescent="0.25">
      <c r="A408">
        <v>407</v>
      </c>
      <c r="B408" t="s">
        <v>535</v>
      </c>
      <c r="C408" s="18">
        <v>5.66</v>
      </c>
      <c r="D408" s="13">
        <v>1</v>
      </c>
      <c r="E408" s="18">
        <v>3.2</v>
      </c>
      <c r="F408" s="18">
        <v>5.4</v>
      </c>
      <c r="G408" s="18">
        <v>5.41</v>
      </c>
    </row>
    <row r="409" spans="1:7" x14ac:dyDescent="0.25">
      <c r="A409">
        <v>408</v>
      </c>
      <c r="B409" t="s">
        <v>853</v>
      </c>
      <c r="C409" s="18">
        <v>5.65</v>
      </c>
      <c r="D409" s="13">
        <v>1</v>
      </c>
      <c r="E409" s="18">
        <v>3.2</v>
      </c>
      <c r="F409" s="18">
        <v>4.9000000000000004</v>
      </c>
      <c r="G409" s="18">
        <v>4.9000000000000004</v>
      </c>
    </row>
    <row r="410" spans="1:7" x14ac:dyDescent="0.25">
      <c r="A410">
        <v>409</v>
      </c>
      <c r="B410" t="s">
        <v>936</v>
      </c>
      <c r="C410" s="18">
        <v>5.63</v>
      </c>
      <c r="D410" s="13">
        <v>1</v>
      </c>
      <c r="E410" s="18">
        <v>3.1</v>
      </c>
      <c r="F410" s="18">
        <v>5.6</v>
      </c>
      <c r="G410" s="18">
        <v>5.63</v>
      </c>
    </row>
    <row r="411" spans="1:7" x14ac:dyDescent="0.25">
      <c r="A411">
        <v>410</v>
      </c>
      <c r="B411" s="5" t="s">
        <v>118</v>
      </c>
      <c r="C411" s="18">
        <v>5.6449999999999996</v>
      </c>
      <c r="D411" s="13">
        <v>1</v>
      </c>
      <c r="E411" s="18">
        <v>3.1</v>
      </c>
      <c r="F411" s="18">
        <v>5.5</v>
      </c>
      <c r="G411" s="18">
        <v>5.52</v>
      </c>
    </row>
    <row r="412" spans="1:7" x14ac:dyDescent="0.25">
      <c r="A412">
        <v>411</v>
      </c>
      <c r="B412" t="s">
        <v>842</v>
      </c>
      <c r="C412" s="18">
        <v>5.5549999999999997</v>
      </c>
      <c r="D412" s="13">
        <v>1</v>
      </c>
      <c r="E412" s="18">
        <v>3.1</v>
      </c>
      <c r="F412" s="18">
        <v>5.4</v>
      </c>
      <c r="G412" s="18">
        <v>5.43</v>
      </c>
    </row>
    <row r="413" spans="1:7" x14ac:dyDescent="0.25">
      <c r="A413">
        <v>412</v>
      </c>
      <c r="B413" t="s">
        <v>399</v>
      </c>
      <c r="C413" s="18">
        <v>5.57</v>
      </c>
      <c r="D413" s="13">
        <v>1</v>
      </c>
      <c r="E413" s="18">
        <v>3.1</v>
      </c>
      <c r="F413" s="18">
        <v>5.3</v>
      </c>
      <c r="G413" s="18">
        <v>5.32</v>
      </c>
    </row>
    <row r="414" spans="1:7" x14ac:dyDescent="0.25">
      <c r="A414">
        <v>413</v>
      </c>
      <c r="B414" t="s">
        <v>560</v>
      </c>
      <c r="C414" s="18">
        <v>5.56</v>
      </c>
      <c r="D414" s="13">
        <v>1</v>
      </c>
      <c r="E414" s="18">
        <v>3.1</v>
      </c>
      <c r="F414" s="18">
        <v>5.3</v>
      </c>
      <c r="G414" s="18">
        <v>5.31</v>
      </c>
    </row>
    <row r="415" spans="1:7" x14ac:dyDescent="0.25">
      <c r="A415">
        <v>414</v>
      </c>
      <c r="B415" t="s">
        <v>942</v>
      </c>
      <c r="C415" s="18">
        <v>5.53</v>
      </c>
      <c r="D415" s="13">
        <v>1</v>
      </c>
      <c r="E415" s="18">
        <v>3</v>
      </c>
      <c r="F415" s="18">
        <v>5.5</v>
      </c>
      <c r="G415" s="18">
        <v>5.53</v>
      </c>
    </row>
    <row r="416" spans="1:7" x14ac:dyDescent="0.25">
      <c r="A416">
        <v>415</v>
      </c>
      <c r="B416" t="s">
        <v>342</v>
      </c>
      <c r="C416" s="18">
        <v>5.52</v>
      </c>
      <c r="D416" s="13">
        <v>1</v>
      </c>
      <c r="E416" s="18">
        <v>3</v>
      </c>
      <c r="F416" s="18">
        <v>5.5</v>
      </c>
      <c r="G416" s="18">
        <v>5.52</v>
      </c>
    </row>
    <row r="417" spans="1:7" x14ac:dyDescent="0.25">
      <c r="A417">
        <v>416</v>
      </c>
      <c r="B417" t="s">
        <v>197</v>
      </c>
      <c r="C417" s="18">
        <v>5.51</v>
      </c>
      <c r="D417" s="13">
        <v>1</v>
      </c>
      <c r="E417" s="18">
        <v>3</v>
      </c>
      <c r="F417" s="18">
        <v>5.5</v>
      </c>
      <c r="G417" s="18">
        <v>5.51</v>
      </c>
    </row>
    <row r="418" spans="1:7" x14ac:dyDescent="0.25">
      <c r="A418">
        <v>417</v>
      </c>
      <c r="B418" t="s">
        <v>902</v>
      </c>
      <c r="C418" s="18">
        <v>5.5449999999999999</v>
      </c>
      <c r="D418" s="13">
        <v>1</v>
      </c>
      <c r="E418" s="18">
        <v>3</v>
      </c>
      <c r="F418" s="18">
        <v>5.4</v>
      </c>
      <c r="G418" s="18">
        <v>5.42</v>
      </c>
    </row>
    <row r="419" spans="1:7" x14ac:dyDescent="0.25">
      <c r="A419">
        <v>418</v>
      </c>
      <c r="B419" t="s">
        <v>536</v>
      </c>
      <c r="C419" s="18">
        <v>5.5350000000000001</v>
      </c>
      <c r="D419" s="13">
        <v>1</v>
      </c>
      <c r="E419" s="18">
        <v>3</v>
      </c>
      <c r="F419" s="18">
        <v>5.4</v>
      </c>
      <c r="G419" s="18">
        <v>5.41</v>
      </c>
    </row>
    <row r="420" spans="1:7" x14ac:dyDescent="0.25">
      <c r="A420">
        <v>419</v>
      </c>
      <c r="B420" t="s">
        <v>100</v>
      </c>
      <c r="C420" s="18">
        <v>5.47</v>
      </c>
      <c r="D420" s="13">
        <v>1</v>
      </c>
      <c r="E420" s="18">
        <v>3</v>
      </c>
      <c r="F420" s="18">
        <v>5.2</v>
      </c>
      <c r="G420" s="18">
        <v>5.22</v>
      </c>
    </row>
    <row r="421" spans="1:7" x14ac:dyDescent="0.25">
      <c r="A421">
        <v>420</v>
      </c>
      <c r="B421" t="s">
        <v>304</v>
      </c>
      <c r="C421" s="18">
        <v>5.46</v>
      </c>
      <c r="D421" s="13">
        <v>1</v>
      </c>
      <c r="E421" s="18">
        <v>3</v>
      </c>
      <c r="F421" s="18">
        <v>5.2</v>
      </c>
      <c r="G421" s="18">
        <v>5.21</v>
      </c>
    </row>
    <row r="422" spans="1:7" x14ac:dyDescent="0.25">
      <c r="A422">
        <v>421</v>
      </c>
      <c r="B422" t="s">
        <v>907</v>
      </c>
      <c r="C422" s="18">
        <v>5.43</v>
      </c>
      <c r="D422" s="13">
        <v>1</v>
      </c>
      <c r="E422" s="18">
        <v>2.9</v>
      </c>
      <c r="F422" s="18">
        <v>5.4</v>
      </c>
      <c r="G422" s="18">
        <v>5.43</v>
      </c>
    </row>
    <row r="423" spans="1:7" x14ac:dyDescent="0.25">
      <c r="A423">
        <v>422</v>
      </c>
      <c r="B423" t="s">
        <v>903</v>
      </c>
      <c r="C423" s="18">
        <v>5.42</v>
      </c>
      <c r="D423" s="4">
        <v>1</v>
      </c>
      <c r="E423" s="18">
        <v>2.9</v>
      </c>
      <c r="F423" s="18">
        <v>5.4</v>
      </c>
      <c r="G423" s="18">
        <v>5.42</v>
      </c>
    </row>
    <row r="424" spans="1:7" x14ac:dyDescent="0.25">
      <c r="A424">
        <v>423</v>
      </c>
      <c r="B424" t="s">
        <v>537</v>
      </c>
      <c r="C424" s="18">
        <v>5.41</v>
      </c>
      <c r="D424" s="13">
        <v>1</v>
      </c>
      <c r="E424" s="18">
        <v>2.9</v>
      </c>
      <c r="F424" s="18">
        <v>5.4</v>
      </c>
      <c r="G424" s="18">
        <v>5.41</v>
      </c>
    </row>
    <row r="425" spans="1:7" x14ac:dyDescent="0.25">
      <c r="A425">
        <v>424</v>
      </c>
      <c r="B425" t="s">
        <v>400</v>
      </c>
      <c r="C425" s="18">
        <v>5.4450000000000003</v>
      </c>
      <c r="D425" s="13">
        <v>1</v>
      </c>
      <c r="E425" s="18">
        <v>2.9</v>
      </c>
      <c r="F425" s="18">
        <v>5.3</v>
      </c>
      <c r="G425" s="18">
        <v>5.32</v>
      </c>
    </row>
    <row r="426" spans="1:7" x14ac:dyDescent="0.25">
      <c r="A426">
        <v>425</v>
      </c>
      <c r="B426" t="s">
        <v>561</v>
      </c>
      <c r="C426" s="18">
        <v>5.4349999999999996</v>
      </c>
      <c r="D426" s="13">
        <v>1</v>
      </c>
      <c r="E426" s="18">
        <v>2.9</v>
      </c>
      <c r="F426" s="18">
        <v>5.3</v>
      </c>
      <c r="G426" s="18">
        <v>5.31</v>
      </c>
    </row>
    <row r="427" spans="1:7" x14ac:dyDescent="0.25">
      <c r="A427">
        <v>426</v>
      </c>
      <c r="B427" t="s">
        <v>228</v>
      </c>
      <c r="C427" s="18">
        <v>5.3550000000000004</v>
      </c>
      <c r="D427" s="13">
        <v>1</v>
      </c>
      <c r="E427" s="18">
        <v>2.9</v>
      </c>
      <c r="F427" s="18">
        <v>5.2</v>
      </c>
      <c r="G427" s="18">
        <v>5.23</v>
      </c>
    </row>
    <row r="428" spans="1:7" x14ac:dyDescent="0.25">
      <c r="A428">
        <v>427</v>
      </c>
      <c r="B428" s="10" t="s">
        <v>337</v>
      </c>
      <c r="C428" s="18">
        <v>5.38</v>
      </c>
      <c r="D428" s="13">
        <v>1</v>
      </c>
      <c r="E428" s="18">
        <v>2.9</v>
      </c>
      <c r="F428" s="18">
        <v>5.0999999999999996</v>
      </c>
      <c r="G428" s="18">
        <v>5.13</v>
      </c>
    </row>
    <row r="429" spans="1:7" x14ac:dyDescent="0.25">
      <c r="A429">
        <v>428</v>
      </c>
      <c r="B429" t="s">
        <v>897</v>
      </c>
      <c r="C429" s="18">
        <v>5.37</v>
      </c>
      <c r="D429" s="13">
        <v>1</v>
      </c>
      <c r="E429" s="18">
        <v>2.9</v>
      </c>
      <c r="F429" s="18">
        <v>5.0999999999999996</v>
      </c>
      <c r="G429" s="18">
        <v>5.12</v>
      </c>
    </row>
    <row r="430" spans="1:7" x14ac:dyDescent="0.25">
      <c r="A430">
        <v>429</v>
      </c>
      <c r="B430" s="10" t="s">
        <v>223</v>
      </c>
      <c r="C430" s="18">
        <v>5.33</v>
      </c>
      <c r="D430" s="13">
        <v>1</v>
      </c>
      <c r="E430" s="18">
        <v>2.8</v>
      </c>
      <c r="F430" s="18">
        <v>5.3</v>
      </c>
      <c r="G430" s="18">
        <v>5.33</v>
      </c>
    </row>
    <row r="431" spans="1:7" x14ac:dyDescent="0.25">
      <c r="A431">
        <v>430</v>
      </c>
      <c r="B431" s="10" t="s">
        <v>401</v>
      </c>
      <c r="C431" s="18">
        <v>5.32</v>
      </c>
      <c r="D431" s="13">
        <v>1</v>
      </c>
      <c r="E431" s="18">
        <v>2.8</v>
      </c>
      <c r="F431" s="18">
        <v>5.3</v>
      </c>
      <c r="G431" s="18">
        <v>5.32</v>
      </c>
    </row>
    <row r="432" spans="1:7" x14ac:dyDescent="0.25">
      <c r="A432">
        <v>431</v>
      </c>
      <c r="B432" t="s">
        <v>562</v>
      </c>
      <c r="C432" s="18">
        <v>5.31</v>
      </c>
      <c r="D432" s="13">
        <v>1</v>
      </c>
      <c r="E432" s="18">
        <v>2.8</v>
      </c>
      <c r="F432" s="18">
        <v>5.3</v>
      </c>
      <c r="G432" s="18">
        <v>5.31</v>
      </c>
    </row>
    <row r="433" spans="1:7" x14ac:dyDescent="0.25">
      <c r="A433">
        <v>432</v>
      </c>
      <c r="B433" t="s">
        <v>327</v>
      </c>
      <c r="C433" s="18">
        <v>5.3449999999999998</v>
      </c>
      <c r="D433" s="13">
        <v>1</v>
      </c>
      <c r="E433" s="18">
        <v>2.8</v>
      </c>
      <c r="F433" s="18">
        <v>5.2</v>
      </c>
      <c r="G433" s="18">
        <v>5.22</v>
      </c>
    </row>
    <row r="434" spans="1:7" x14ac:dyDescent="0.25">
      <c r="A434">
        <v>433</v>
      </c>
      <c r="B434" t="s">
        <v>305</v>
      </c>
      <c r="C434" s="18">
        <v>5.335</v>
      </c>
      <c r="D434" s="13">
        <v>1</v>
      </c>
      <c r="E434" s="18">
        <v>2.8</v>
      </c>
      <c r="F434" s="18">
        <v>5.2</v>
      </c>
      <c r="G434" s="18">
        <v>5.21</v>
      </c>
    </row>
    <row r="435" spans="1:7" x14ac:dyDescent="0.25">
      <c r="A435">
        <v>434</v>
      </c>
      <c r="B435" t="s">
        <v>338</v>
      </c>
      <c r="C435" s="18">
        <v>5.2549999999999999</v>
      </c>
      <c r="D435" s="13">
        <v>1</v>
      </c>
      <c r="E435" s="18">
        <v>2.8</v>
      </c>
      <c r="F435" s="18">
        <v>5.0999999999999996</v>
      </c>
      <c r="G435" s="18">
        <v>5.13</v>
      </c>
    </row>
    <row r="436" spans="1:7" x14ac:dyDescent="0.25">
      <c r="A436">
        <v>435</v>
      </c>
      <c r="B436" t="s">
        <v>855</v>
      </c>
      <c r="C436" s="18">
        <v>5.27</v>
      </c>
      <c r="D436" s="13">
        <v>1</v>
      </c>
      <c r="E436" s="18">
        <v>2.8</v>
      </c>
      <c r="F436" s="18">
        <v>5</v>
      </c>
      <c r="G436" s="18">
        <v>5.0199999999999996</v>
      </c>
    </row>
    <row r="437" spans="1:7" x14ac:dyDescent="0.25">
      <c r="A437">
        <v>436</v>
      </c>
      <c r="B437" t="s">
        <v>637</v>
      </c>
      <c r="C437" s="18">
        <v>5.26</v>
      </c>
      <c r="D437" s="13">
        <v>1</v>
      </c>
      <c r="E437" s="18">
        <v>2.8</v>
      </c>
      <c r="F437" s="18">
        <v>5</v>
      </c>
      <c r="G437" s="18">
        <v>5.01</v>
      </c>
    </row>
    <row r="438" spans="1:7" x14ac:dyDescent="0.25">
      <c r="A438">
        <v>437</v>
      </c>
      <c r="B438" t="s">
        <v>120</v>
      </c>
      <c r="C438" s="18">
        <v>5.23</v>
      </c>
      <c r="D438" s="13">
        <v>1</v>
      </c>
      <c r="E438" s="18">
        <v>2.7</v>
      </c>
      <c r="F438" s="18">
        <v>5.2</v>
      </c>
      <c r="G438" s="18">
        <v>5.23</v>
      </c>
    </row>
    <row r="439" spans="1:7" x14ac:dyDescent="0.25">
      <c r="A439">
        <v>438</v>
      </c>
      <c r="B439" t="s">
        <v>328</v>
      </c>
      <c r="C439" s="18">
        <v>5.22</v>
      </c>
      <c r="D439" s="13">
        <v>1</v>
      </c>
      <c r="E439" s="18">
        <v>2.7</v>
      </c>
      <c r="F439" s="18">
        <v>5.2</v>
      </c>
      <c r="G439" s="18">
        <v>5.22</v>
      </c>
    </row>
    <row r="440" spans="1:7" x14ac:dyDescent="0.25">
      <c r="A440">
        <v>439</v>
      </c>
      <c r="B440" t="s">
        <v>306</v>
      </c>
      <c r="C440" s="18">
        <v>5.21</v>
      </c>
      <c r="D440" s="13">
        <v>1</v>
      </c>
      <c r="E440" s="18">
        <v>2.7</v>
      </c>
      <c r="F440" s="18">
        <v>5.2</v>
      </c>
      <c r="G440" s="18">
        <v>5.21</v>
      </c>
    </row>
    <row r="441" spans="1:7" x14ac:dyDescent="0.25">
      <c r="A441">
        <v>440</v>
      </c>
      <c r="B441" t="s">
        <v>898</v>
      </c>
      <c r="C441" s="18">
        <v>5.2450000000000001</v>
      </c>
      <c r="D441" s="13">
        <v>1</v>
      </c>
      <c r="E441" s="18">
        <v>2.7</v>
      </c>
      <c r="F441" s="18">
        <v>5.0999999999999996</v>
      </c>
      <c r="G441" s="18">
        <v>5.12</v>
      </c>
    </row>
    <row r="442" spans="1:7" x14ac:dyDescent="0.25">
      <c r="A442">
        <v>441</v>
      </c>
      <c r="B442" t="s">
        <v>891</v>
      </c>
      <c r="C442" s="18">
        <v>5.2350000000000003</v>
      </c>
      <c r="D442" s="13">
        <v>1</v>
      </c>
      <c r="E442" s="18">
        <v>2.7</v>
      </c>
      <c r="F442" s="18">
        <v>5.0999999999999996</v>
      </c>
      <c r="G442" s="18">
        <v>5.1100000000000003</v>
      </c>
    </row>
    <row r="443" spans="1:7" x14ac:dyDescent="0.25">
      <c r="A443">
        <v>442</v>
      </c>
      <c r="B443" t="s">
        <v>133</v>
      </c>
      <c r="C443" s="18">
        <v>5.1550000000000002</v>
      </c>
      <c r="D443" s="13">
        <v>1</v>
      </c>
      <c r="E443" s="18">
        <v>2.7</v>
      </c>
      <c r="F443" s="18">
        <v>5</v>
      </c>
      <c r="G443" s="18">
        <v>5.03</v>
      </c>
    </row>
    <row r="444" spans="1:7" x14ac:dyDescent="0.25">
      <c r="A444">
        <v>443</v>
      </c>
      <c r="B444" t="s">
        <v>852</v>
      </c>
      <c r="C444" s="18">
        <v>5.15</v>
      </c>
      <c r="D444" s="13">
        <v>1</v>
      </c>
      <c r="E444" s="18">
        <v>2.7</v>
      </c>
      <c r="F444" s="18">
        <v>4.9000000000000004</v>
      </c>
      <c r="G444" s="18">
        <v>4.9000000000000004</v>
      </c>
    </row>
    <row r="445" spans="1:7" x14ac:dyDescent="0.25">
      <c r="A445">
        <v>444</v>
      </c>
      <c r="B445" t="s">
        <v>339</v>
      </c>
      <c r="C445" s="18">
        <v>5.13</v>
      </c>
      <c r="D445" s="13">
        <v>1</v>
      </c>
      <c r="E445" s="18">
        <v>2.6</v>
      </c>
      <c r="F445" s="18">
        <v>5.0999999999999996</v>
      </c>
      <c r="G445" s="18">
        <v>5.13</v>
      </c>
    </row>
    <row r="446" spans="1:7" x14ac:dyDescent="0.25">
      <c r="A446">
        <v>445</v>
      </c>
      <c r="B446" t="s">
        <v>899</v>
      </c>
      <c r="C446" s="18">
        <v>5.12</v>
      </c>
      <c r="D446" s="13">
        <v>1</v>
      </c>
      <c r="E446" s="18">
        <v>2.6</v>
      </c>
      <c r="F446" s="18">
        <v>5.0999999999999996</v>
      </c>
      <c r="G446" s="18">
        <v>5.12</v>
      </c>
    </row>
    <row r="447" spans="1:7" x14ac:dyDescent="0.25">
      <c r="A447">
        <v>446</v>
      </c>
      <c r="B447" t="s">
        <v>892</v>
      </c>
      <c r="C447" s="18">
        <v>5.1100000000000003</v>
      </c>
      <c r="D447" s="13">
        <v>1</v>
      </c>
      <c r="E447" s="18">
        <v>2.6</v>
      </c>
      <c r="F447" s="18">
        <v>5.0999999999999996</v>
      </c>
      <c r="G447" s="18">
        <v>5.1100000000000003</v>
      </c>
    </row>
    <row r="448" spans="1:7" x14ac:dyDescent="0.25">
      <c r="A448">
        <v>447</v>
      </c>
      <c r="B448" t="s">
        <v>854</v>
      </c>
      <c r="C448" s="18">
        <v>5.1449999999999996</v>
      </c>
      <c r="D448" s="13">
        <v>1</v>
      </c>
      <c r="E448" s="18">
        <v>2.6</v>
      </c>
      <c r="F448" s="18">
        <v>5</v>
      </c>
      <c r="G448" s="18">
        <v>5.0199999999999996</v>
      </c>
    </row>
    <row r="449" spans="1:7" x14ac:dyDescent="0.25">
      <c r="A449">
        <v>448</v>
      </c>
      <c r="B449" t="s">
        <v>639</v>
      </c>
      <c r="C449" s="18">
        <v>5.1349999999999998</v>
      </c>
      <c r="D449" s="13">
        <v>1</v>
      </c>
      <c r="E449" s="18">
        <v>2.6</v>
      </c>
      <c r="F449" s="18">
        <v>5</v>
      </c>
      <c r="G449" s="18">
        <v>5.01</v>
      </c>
    </row>
    <row r="450" spans="1:7" x14ac:dyDescent="0.25">
      <c r="A450">
        <v>449</v>
      </c>
      <c r="B450" t="s">
        <v>912</v>
      </c>
      <c r="C450" s="18">
        <v>5.05</v>
      </c>
      <c r="D450" s="13">
        <v>1</v>
      </c>
      <c r="E450" s="18">
        <v>2.6</v>
      </c>
      <c r="F450" s="18">
        <v>4.8</v>
      </c>
      <c r="G450" s="18">
        <v>4.8</v>
      </c>
    </row>
    <row r="451" spans="1:7" x14ac:dyDescent="0.25">
      <c r="A451">
        <v>450</v>
      </c>
      <c r="B451" t="s">
        <v>352</v>
      </c>
      <c r="C451" s="18">
        <v>5.03</v>
      </c>
      <c r="D451" s="13">
        <v>1</v>
      </c>
      <c r="E451" s="18">
        <v>2.5</v>
      </c>
      <c r="F451" s="18">
        <v>5</v>
      </c>
      <c r="G451" s="18">
        <v>5.03</v>
      </c>
    </row>
    <row r="452" spans="1:7" x14ac:dyDescent="0.25">
      <c r="A452">
        <v>451</v>
      </c>
      <c r="B452" t="s">
        <v>825</v>
      </c>
      <c r="C452" s="18">
        <v>5.0199999999999996</v>
      </c>
      <c r="D452" s="13">
        <v>1</v>
      </c>
      <c r="E452" s="18">
        <v>2.5</v>
      </c>
      <c r="F452" s="18">
        <v>5</v>
      </c>
      <c r="G452" s="18">
        <v>5.0199999999999996</v>
      </c>
    </row>
    <row r="453" spans="1:7" x14ac:dyDescent="0.25">
      <c r="A453">
        <v>452</v>
      </c>
      <c r="B453" t="s">
        <v>640</v>
      </c>
      <c r="C453" s="18">
        <v>5.01</v>
      </c>
      <c r="D453" s="13">
        <v>1</v>
      </c>
      <c r="E453" s="18">
        <v>2.5</v>
      </c>
      <c r="F453" s="18">
        <v>5</v>
      </c>
      <c r="G453" s="18">
        <v>5.01</v>
      </c>
    </row>
    <row r="454" spans="1:7" x14ac:dyDescent="0.25">
      <c r="A454">
        <v>453</v>
      </c>
      <c r="B454" t="s">
        <v>951</v>
      </c>
      <c r="C454" s="18">
        <v>5.0250000000000004</v>
      </c>
      <c r="D454" s="13">
        <v>1</v>
      </c>
      <c r="E454" s="18">
        <v>2.5</v>
      </c>
      <c r="F454" s="18">
        <v>4.9000000000000004</v>
      </c>
      <c r="G454" s="18">
        <v>4.9000000000000004</v>
      </c>
    </row>
    <row r="455" spans="1:7" x14ac:dyDescent="0.25">
      <c r="A455">
        <v>454</v>
      </c>
      <c r="B455" t="s">
        <v>851</v>
      </c>
      <c r="C455" s="18">
        <v>4.9000000000000004</v>
      </c>
      <c r="D455" s="13">
        <v>1</v>
      </c>
      <c r="E455" s="18">
        <v>2.4</v>
      </c>
      <c r="F455" s="18">
        <v>4.9000000000000004</v>
      </c>
      <c r="G455" s="18">
        <v>4.9000000000000004</v>
      </c>
    </row>
    <row r="456" spans="1:7" x14ac:dyDescent="0.25">
      <c r="A456">
        <v>455</v>
      </c>
      <c r="B456" t="s">
        <v>913</v>
      </c>
      <c r="C456" s="18">
        <v>4.9249999999999998</v>
      </c>
      <c r="D456" s="13">
        <v>1</v>
      </c>
      <c r="E456" s="18">
        <v>2.4</v>
      </c>
      <c r="F456" s="18">
        <v>4.8</v>
      </c>
      <c r="G456" s="18">
        <v>4.8</v>
      </c>
    </row>
    <row r="457" spans="1:7" x14ac:dyDescent="0.25">
      <c r="A457">
        <v>456</v>
      </c>
      <c r="B457" t="s">
        <v>480</v>
      </c>
      <c r="C457" s="18">
        <v>4.95</v>
      </c>
      <c r="D457" s="13">
        <v>1</v>
      </c>
      <c r="E457" s="18">
        <v>2.4</v>
      </c>
      <c r="F457" s="18">
        <v>4.7</v>
      </c>
      <c r="G457" s="18">
        <v>4.7</v>
      </c>
    </row>
    <row r="458" spans="1:7" x14ac:dyDescent="0.25">
      <c r="A458">
        <v>457</v>
      </c>
      <c r="B458" t="s">
        <v>540</v>
      </c>
      <c r="C458" s="18">
        <v>4.8499999999999996</v>
      </c>
      <c r="D458" s="13">
        <v>1</v>
      </c>
      <c r="E458" s="18">
        <v>2.2999999999999998</v>
      </c>
      <c r="F458" s="18">
        <v>4.5999999999999996</v>
      </c>
      <c r="G458" s="18">
        <v>4.5999999999999996</v>
      </c>
    </row>
    <row r="459" spans="1:7" x14ac:dyDescent="0.25">
      <c r="A459">
        <v>458</v>
      </c>
      <c r="B459" t="s">
        <v>541</v>
      </c>
      <c r="C459" s="18">
        <v>4.7249999999999996</v>
      </c>
      <c r="D459" s="13">
        <v>1</v>
      </c>
      <c r="E459" s="18">
        <v>2.2000000000000002</v>
      </c>
      <c r="F459" s="18">
        <v>4.5999999999999996</v>
      </c>
      <c r="G459" s="18">
        <v>4.5999999999999996</v>
      </c>
    </row>
    <row r="460" spans="1:7" x14ac:dyDescent="0.25">
      <c r="A460">
        <v>459</v>
      </c>
      <c r="B460" t="s">
        <v>356</v>
      </c>
      <c r="C460" s="18">
        <v>4.6500000000000004</v>
      </c>
      <c r="D460" s="13">
        <v>1</v>
      </c>
      <c r="E460" s="18">
        <v>2.2000000000000002</v>
      </c>
      <c r="F460" s="18">
        <v>4.4000000000000004</v>
      </c>
      <c r="G460" s="18">
        <v>4.4000000000000004</v>
      </c>
    </row>
    <row r="461" spans="1:7" x14ac:dyDescent="0.25">
      <c r="A461">
        <v>460</v>
      </c>
      <c r="B461" t="s">
        <v>543</v>
      </c>
      <c r="C461" s="18">
        <v>4.5999999999999996</v>
      </c>
      <c r="D461" s="13">
        <v>1</v>
      </c>
      <c r="E461" s="18">
        <v>2.1</v>
      </c>
      <c r="F461" s="18">
        <v>4.5999999999999996</v>
      </c>
      <c r="G461" s="18">
        <v>4.5999999999999996</v>
      </c>
    </row>
    <row r="462" spans="1:7" x14ac:dyDescent="0.25">
      <c r="A462">
        <v>461</v>
      </c>
      <c r="B462" t="s">
        <v>122</v>
      </c>
      <c r="C462" s="18">
        <v>4.625</v>
      </c>
      <c r="D462" s="13">
        <v>1</v>
      </c>
      <c r="E462" s="18">
        <v>2.1</v>
      </c>
      <c r="F462" s="18">
        <v>4.5</v>
      </c>
      <c r="G462" s="18">
        <v>4.5</v>
      </c>
    </row>
    <row r="463" spans="1:7" x14ac:dyDescent="0.25">
      <c r="A463">
        <v>462</v>
      </c>
      <c r="B463" t="s">
        <v>357</v>
      </c>
      <c r="C463" s="18">
        <v>4.5250000000000004</v>
      </c>
      <c r="D463" s="13">
        <v>1</v>
      </c>
      <c r="E463" s="18">
        <v>2</v>
      </c>
      <c r="F463" s="18">
        <v>4.4000000000000004</v>
      </c>
      <c r="G463" s="18">
        <v>4.4000000000000004</v>
      </c>
    </row>
    <row r="464" spans="1:7" x14ac:dyDescent="0.25">
      <c r="A464">
        <v>463</v>
      </c>
      <c r="B464" t="s">
        <v>358</v>
      </c>
      <c r="C464" s="18">
        <v>4.4000000000000004</v>
      </c>
      <c r="D464" s="13">
        <v>1</v>
      </c>
      <c r="E464" s="18">
        <v>1.9</v>
      </c>
      <c r="F464" s="18">
        <v>4.4000000000000004</v>
      </c>
      <c r="G464" s="18">
        <v>4.4000000000000004</v>
      </c>
    </row>
    <row r="465" spans="1:7" x14ac:dyDescent="0.25">
      <c r="A465">
        <v>464</v>
      </c>
      <c r="B465" t="s">
        <v>340</v>
      </c>
      <c r="C465" s="18">
        <v>4.4249999999999998</v>
      </c>
      <c r="D465" s="13">
        <v>1</v>
      </c>
      <c r="E465" s="18">
        <v>1.9</v>
      </c>
      <c r="F465" s="18">
        <v>4.3</v>
      </c>
      <c r="G465" s="18">
        <v>4.3</v>
      </c>
    </row>
    <row r="466" spans="1:7" x14ac:dyDescent="0.25">
      <c r="A466">
        <v>465</v>
      </c>
      <c r="B466" t="s">
        <v>598</v>
      </c>
      <c r="C466" s="18">
        <v>4.3250000000000002</v>
      </c>
      <c r="D466" s="13">
        <v>1</v>
      </c>
      <c r="E466" s="18">
        <v>1.8</v>
      </c>
      <c r="F466" s="18">
        <v>4.2</v>
      </c>
      <c r="G466" s="18">
        <v>4.2</v>
      </c>
    </row>
    <row r="467" spans="1:7" x14ac:dyDescent="0.25">
      <c r="A467">
        <v>466</v>
      </c>
      <c r="B467" t="s">
        <v>332</v>
      </c>
      <c r="C467" s="18">
        <v>4.25</v>
      </c>
      <c r="D467" s="13">
        <v>1</v>
      </c>
      <c r="E467" s="18">
        <v>1.8</v>
      </c>
      <c r="F467" s="18">
        <v>3.5</v>
      </c>
      <c r="G467" s="18">
        <v>3.5</v>
      </c>
    </row>
    <row r="468" spans="1:7" x14ac:dyDescent="0.25">
      <c r="A468">
        <v>467</v>
      </c>
      <c r="B468" t="s">
        <v>599</v>
      </c>
      <c r="C468" s="18">
        <v>4.2</v>
      </c>
      <c r="D468" s="13">
        <v>1</v>
      </c>
      <c r="E468" s="18">
        <v>1.7</v>
      </c>
      <c r="F468" s="18">
        <v>4.2</v>
      </c>
      <c r="G468" s="18">
        <v>4.2</v>
      </c>
    </row>
    <row r="469" spans="1:7" x14ac:dyDescent="0.25">
      <c r="A469">
        <v>468</v>
      </c>
      <c r="B469" t="s">
        <v>347</v>
      </c>
      <c r="C469" s="18">
        <v>4.2249999999999996</v>
      </c>
      <c r="D469" s="13">
        <v>1</v>
      </c>
      <c r="E469" s="18">
        <v>1.7</v>
      </c>
      <c r="F469" s="18">
        <v>4.0999999999999996</v>
      </c>
      <c r="G469" s="18">
        <v>4.0999999999999996</v>
      </c>
    </row>
    <row r="470" spans="1:7" x14ac:dyDescent="0.25">
      <c r="A470">
        <v>469</v>
      </c>
      <c r="B470" t="s">
        <v>346</v>
      </c>
      <c r="C470" s="18">
        <v>4.0999999999999996</v>
      </c>
      <c r="D470" s="13">
        <v>1</v>
      </c>
      <c r="E470" s="18">
        <v>1.6</v>
      </c>
      <c r="F470" s="18">
        <v>4.0999999999999996</v>
      </c>
      <c r="G470" s="18">
        <v>4.0999999999999996</v>
      </c>
    </row>
    <row r="471" spans="1:7" x14ac:dyDescent="0.25">
      <c r="A471">
        <v>470</v>
      </c>
      <c r="B471" t="s">
        <v>36</v>
      </c>
      <c r="C471" s="18">
        <v>4.125</v>
      </c>
      <c r="D471" s="13">
        <v>1</v>
      </c>
      <c r="E471" s="18">
        <v>1.6</v>
      </c>
      <c r="F471" s="18">
        <v>4</v>
      </c>
      <c r="G471" s="18">
        <v>4</v>
      </c>
    </row>
    <row r="472" spans="1:7" x14ac:dyDescent="0.25">
      <c r="A472">
        <v>471</v>
      </c>
      <c r="B472" t="s">
        <v>351</v>
      </c>
      <c r="C472" s="18">
        <v>4</v>
      </c>
      <c r="D472" s="13">
        <v>1</v>
      </c>
      <c r="E472" s="18">
        <v>1.5</v>
      </c>
      <c r="F472" s="18">
        <v>4</v>
      </c>
      <c r="G472" s="18">
        <v>4</v>
      </c>
    </row>
    <row r="473" spans="1:7" x14ac:dyDescent="0.25">
      <c r="A473">
        <v>472</v>
      </c>
      <c r="B473" t="s">
        <v>465</v>
      </c>
      <c r="C473" s="18">
        <v>4.05</v>
      </c>
      <c r="D473" s="13">
        <v>1</v>
      </c>
      <c r="E473" s="18">
        <v>1.5</v>
      </c>
      <c r="F473" s="18">
        <v>3.8</v>
      </c>
      <c r="G473" s="18">
        <v>3.8</v>
      </c>
    </row>
    <row r="474" spans="1:7" x14ac:dyDescent="0.25">
      <c r="A474">
        <v>473</v>
      </c>
      <c r="B474" t="s">
        <v>125</v>
      </c>
      <c r="C474" s="18">
        <v>3.95</v>
      </c>
      <c r="D474" s="13">
        <v>1</v>
      </c>
      <c r="E474" s="18">
        <v>1.5</v>
      </c>
      <c r="F474" s="18">
        <v>3.7</v>
      </c>
      <c r="G474" s="18">
        <v>3.7</v>
      </c>
    </row>
    <row r="475" spans="1:7" x14ac:dyDescent="0.25">
      <c r="A475">
        <v>474</v>
      </c>
      <c r="B475" t="s">
        <v>466</v>
      </c>
      <c r="C475" s="18">
        <v>3.9249999999999998</v>
      </c>
      <c r="D475" s="13">
        <v>1</v>
      </c>
      <c r="E475" s="18">
        <v>1.4</v>
      </c>
      <c r="F475" s="18">
        <v>3.8</v>
      </c>
      <c r="G475" s="18">
        <v>3.8</v>
      </c>
    </row>
    <row r="476" spans="1:7" x14ac:dyDescent="0.25">
      <c r="A476">
        <v>475</v>
      </c>
      <c r="B476" t="s">
        <v>469</v>
      </c>
      <c r="C476" s="18">
        <v>3.8</v>
      </c>
      <c r="D476" s="13">
        <v>1</v>
      </c>
      <c r="E476" s="18">
        <v>1.3</v>
      </c>
      <c r="F476" s="18">
        <v>3.8</v>
      </c>
      <c r="G476" s="18">
        <v>3.8</v>
      </c>
    </row>
    <row r="477" spans="1:7" x14ac:dyDescent="0.25">
      <c r="A477">
        <v>476</v>
      </c>
      <c r="B477" t="s">
        <v>344</v>
      </c>
      <c r="C477" s="18">
        <v>3.8250000000000002</v>
      </c>
      <c r="D477" s="13">
        <v>1</v>
      </c>
      <c r="E477" s="18">
        <v>1.3</v>
      </c>
      <c r="F477" s="18">
        <v>3.7</v>
      </c>
      <c r="G477" s="18">
        <v>3.7</v>
      </c>
    </row>
    <row r="478" spans="1:7" x14ac:dyDescent="0.25">
      <c r="A478">
        <v>477</v>
      </c>
      <c r="B478" t="s">
        <v>345</v>
      </c>
      <c r="C478" s="18">
        <v>3.7</v>
      </c>
      <c r="D478" s="13">
        <v>1</v>
      </c>
      <c r="E478" s="18">
        <v>1.2</v>
      </c>
      <c r="F478" s="18">
        <v>3.7</v>
      </c>
      <c r="G478" s="18">
        <v>3.7</v>
      </c>
    </row>
    <row r="479" spans="1:7" x14ac:dyDescent="0.25">
      <c r="A479">
        <v>478</v>
      </c>
      <c r="B479" t="s">
        <v>333</v>
      </c>
      <c r="C479" s="18">
        <v>3.75</v>
      </c>
      <c r="D479" s="13">
        <v>1</v>
      </c>
      <c r="E479" s="18">
        <v>1.2</v>
      </c>
      <c r="F479" s="18">
        <v>3.5</v>
      </c>
      <c r="G479" s="18">
        <v>3.5</v>
      </c>
    </row>
    <row r="480" spans="1:7" x14ac:dyDescent="0.25">
      <c r="A480">
        <v>479</v>
      </c>
      <c r="B480" t="s">
        <v>334</v>
      </c>
      <c r="C480" s="18">
        <v>3.5</v>
      </c>
      <c r="D480" s="13">
        <v>1</v>
      </c>
      <c r="E480" s="18">
        <v>1</v>
      </c>
      <c r="F480" s="18">
        <v>3.5</v>
      </c>
      <c r="G480" s="18">
        <v>3.5</v>
      </c>
    </row>
    <row r="481" spans="1:7" x14ac:dyDescent="0.25">
      <c r="A481">
        <v>480</v>
      </c>
      <c r="B481" t="s">
        <v>329</v>
      </c>
      <c r="C481" s="18">
        <v>3.35</v>
      </c>
      <c r="D481" s="13">
        <v>1</v>
      </c>
      <c r="E481" s="18">
        <v>0.8</v>
      </c>
      <c r="F481" s="18">
        <v>3.1</v>
      </c>
      <c r="G481" s="18">
        <v>3.1</v>
      </c>
    </row>
    <row r="482" spans="1:7" x14ac:dyDescent="0.25">
      <c r="A482">
        <v>481</v>
      </c>
      <c r="B482" t="s">
        <v>331</v>
      </c>
      <c r="C482" s="18">
        <v>3.1</v>
      </c>
      <c r="D482" s="13">
        <v>1</v>
      </c>
      <c r="E482" s="18">
        <v>0.6</v>
      </c>
      <c r="F482" s="18">
        <v>3.1</v>
      </c>
      <c r="G482" s="18">
        <v>3.1</v>
      </c>
    </row>
    <row r="483" spans="1:7" x14ac:dyDescent="0.25">
      <c r="A483">
        <v>482</v>
      </c>
      <c r="B483" t="s">
        <v>454</v>
      </c>
      <c r="C483" s="18">
        <v>2.8250000000000002</v>
      </c>
      <c r="D483" s="13">
        <v>1</v>
      </c>
      <c r="E483" s="18">
        <v>0.3</v>
      </c>
      <c r="F483" s="18">
        <v>2.7</v>
      </c>
      <c r="G483" s="18">
        <v>2.7</v>
      </c>
    </row>
    <row r="484" spans="1:7" x14ac:dyDescent="0.25">
      <c r="A484">
        <v>483</v>
      </c>
      <c r="B484" t="s">
        <v>455</v>
      </c>
      <c r="C484" s="18">
        <v>2.7</v>
      </c>
      <c r="D484" s="13">
        <v>1</v>
      </c>
      <c r="E484" s="18">
        <v>0.2</v>
      </c>
      <c r="F484" s="18">
        <v>2.7</v>
      </c>
      <c r="G484" s="18">
        <v>2.7</v>
      </c>
    </row>
    <row r="485" spans="1:7" x14ac:dyDescent="0.25">
      <c r="A485">
        <v>484</v>
      </c>
      <c r="B485" t="s">
        <v>348</v>
      </c>
      <c r="C485" s="18">
        <v>2.5499999999999998</v>
      </c>
      <c r="D485" s="13">
        <v>1</v>
      </c>
      <c r="E485" s="18">
        <v>0</v>
      </c>
      <c r="F485" s="18">
        <v>2.2999999999999998</v>
      </c>
      <c r="G485" s="18">
        <v>2.2999999999999998</v>
      </c>
    </row>
    <row r="486" spans="1:7" x14ac:dyDescent="0.25">
      <c r="A486">
        <v>485</v>
      </c>
      <c r="B486" t="s">
        <v>349</v>
      </c>
      <c r="C486" s="18">
        <v>2.4249999999999998</v>
      </c>
      <c r="D486" s="13">
        <v>1</v>
      </c>
      <c r="E486" s="18">
        <v>-0.1</v>
      </c>
      <c r="F486" s="18">
        <v>2.2999999999999998</v>
      </c>
      <c r="G486" s="18">
        <v>2.2999999999999998</v>
      </c>
    </row>
    <row r="487" spans="1:7" x14ac:dyDescent="0.25">
      <c r="A487">
        <v>486</v>
      </c>
      <c r="B487" t="s">
        <v>350</v>
      </c>
      <c r="C487" s="18">
        <v>2.2999999999999998</v>
      </c>
      <c r="D487" s="13">
        <v>1</v>
      </c>
      <c r="E487" s="18">
        <v>-0.2</v>
      </c>
      <c r="F487" s="18">
        <v>2.2999999999999998</v>
      </c>
      <c r="G487" s="18">
        <v>2.2999999999999998</v>
      </c>
    </row>
    <row r="488" spans="1:7" x14ac:dyDescent="0.25">
      <c r="A488">
        <v>487</v>
      </c>
      <c r="B488" t="s">
        <v>139</v>
      </c>
      <c r="C488" s="18">
        <v>2.0499999999999998</v>
      </c>
      <c r="D488" s="13">
        <v>1</v>
      </c>
      <c r="E488" s="18">
        <v>-0.5</v>
      </c>
      <c r="F488" s="18">
        <v>1.8</v>
      </c>
      <c r="G488" s="18">
        <v>1.8</v>
      </c>
    </row>
    <row r="489" spans="1:7" x14ac:dyDescent="0.25">
      <c r="A489">
        <v>488</v>
      </c>
      <c r="B489" t="s">
        <v>140</v>
      </c>
      <c r="C489" s="13">
        <v>1.925</v>
      </c>
      <c r="D489" s="13">
        <v>1</v>
      </c>
      <c r="E489" s="14">
        <v>-0.6</v>
      </c>
      <c r="F489" s="14">
        <v>1.8</v>
      </c>
      <c r="G489" s="14">
        <v>1.8</v>
      </c>
    </row>
    <row r="490" spans="1:7" x14ac:dyDescent="0.25">
      <c r="A490">
        <v>489</v>
      </c>
      <c r="B490" t="s">
        <v>649</v>
      </c>
      <c r="C490" s="13">
        <v>1.75</v>
      </c>
      <c r="D490" s="13">
        <v>1</v>
      </c>
      <c r="E490" s="14">
        <v>-0.8</v>
      </c>
      <c r="F490" s="14">
        <v>1.5</v>
      </c>
      <c r="G490" s="14">
        <v>1.5</v>
      </c>
    </row>
    <row r="491" spans="1:7" x14ac:dyDescent="0.25">
      <c r="A491">
        <v>490</v>
      </c>
      <c r="B491" t="s">
        <v>147</v>
      </c>
      <c r="C491" s="13">
        <v>1.65</v>
      </c>
      <c r="D491" s="13">
        <v>1</v>
      </c>
      <c r="E491" s="14">
        <v>-0.8</v>
      </c>
      <c r="F491" s="14">
        <v>0.9</v>
      </c>
      <c r="G491" s="14">
        <v>0.9</v>
      </c>
    </row>
    <row r="492" spans="1:7" x14ac:dyDescent="0.25">
      <c r="A492">
        <v>491</v>
      </c>
      <c r="B492" t="s">
        <v>650</v>
      </c>
      <c r="C492" s="13">
        <v>1.625</v>
      </c>
      <c r="D492" s="13">
        <v>1</v>
      </c>
      <c r="E492" s="14">
        <v>-0.9</v>
      </c>
      <c r="F492" s="14">
        <v>1.5</v>
      </c>
      <c r="G492" s="14">
        <v>1.5</v>
      </c>
    </row>
    <row r="493" spans="1:7" x14ac:dyDescent="0.25">
      <c r="A493">
        <v>492</v>
      </c>
      <c r="B493" t="s">
        <v>651</v>
      </c>
      <c r="C493" s="13">
        <v>1.5</v>
      </c>
      <c r="D493" s="13">
        <v>1</v>
      </c>
      <c r="E493" s="14">
        <v>-1</v>
      </c>
      <c r="F493" s="14">
        <v>1.5</v>
      </c>
      <c r="G493" s="14">
        <v>1.5</v>
      </c>
    </row>
    <row r="494" spans="1:7" x14ac:dyDescent="0.25">
      <c r="A494">
        <v>493</v>
      </c>
      <c r="B494" t="s">
        <v>353</v>
      </c>
      <c r="C494" s="18">
        <v>1.55</v>
      </c>
      <c r="D494" s="13">
        <v>1</v>
      </c>
      <c r="E494" s="18">
        <v>-1</v>
      </c>
      <c r="F494" s="18">
        <v>1.3</v>
      </c>
      <c r="G494" s="18">
        <v>1.3</v>
      </c>
    </row>
    <row r="495" spans="1:7" x14ac:dyDescent="0.25">
      <c r="A495">
        <v>494</v>
      </c>
      <c r="B495" t="s">
        <v>354</v>
      </c>
      <c r="C495" s="18">
        <v>1.425</v>
      </c>
      <c r="D495" s="13">
        <v>1</v>
      </c>
      <c r="E495" s="18">
        <v>-1.1000000000000001</v>
      </c>
      <c r="F495" s="18">
        <v>1.3</v>
      </c>
      <c r="G495" s="18">
        <v>1.3</v>
      </c>
    </row>
    <row r="496" spans="1:7" x14ac:dyDescent="0.25">
      <c r="A496">
        <v>495</v>
      </c>
      <c r="B496" t="s">
        <v>355</v>
      </c>
      <c r="C496" s="18">
        <v>1.3</v>
      </c>
      <c r="D496" s="13">
        <v>1</v>
      </c>
      <c r="E496" s="18">
        <v>-1.2</v>
      </c>
      <c r="F496" s="18">
        <v>1.3</v>
      </c>
      <c r="G496" s="18">
        <v>1.3</v>
      </c>
    </row>
    <row r="497" spans="1:7" x14ac:dyDescent="0.25">
      <c r="A497">
        <v>496</v>
      </c>
      <c r="B497" t="s">
        <v>360</v>
      </c>
      <c r="C497" s="18">
        <v>1.35</v>
      </c>
      <c r="D497" s="13">
        <v>1</v>
      </c>
      <c r="E497" s="18">
        <v>-1.2</v>
      </c>
      <c r="F497" s="18">
        <v>1.1000000000000001</v>
      </c>
      <c r="G497" s="18">
        <v>1.1000000000000001</v>
      </c>
    </row>
    <row r="498" spans="1:7" x14ac:dyDescent="0.25">
      <c r="A498">
        <v>497</v>
      </c>
      <c r="B498" t="s">
        <v>361</v>
      </c>
      <c r="C498" s="13">
        <v>1.2250000000000001</v>
      </c>
      <c r="D498" s="13">
        <v>1</v>
      </c>
      <c r="E498" s="14">
        <v>-1.3</v>
      </c>
      <c r="F498" s="14">
        <v>1.1000000000000001</v>
      </c>
      <c r="G498" s="14">
        <v>1.1000000000000001</v>
      </c>
    </row>
    <row r="499" spans="1:7" x14ac:dyDescent="0.25">
      <c r="A499">
        <v>498</v>
      </c>
      <c r="B499" t="s">
        <v>363</v>
      </c>
      <c r="C499" s="13">
        <v>1.0249999999999999</v>
      </c>
      <c r="D499" s="13">
        <v>1</v>
      </c>
      <c r="E499" s="14">
        <v>-1.5</v>
      </c>
      <c r="F499" s="14">
        <v>0.9</v>
      </c>
      <c r="G499" s="14">
        <v>0.9</v>
      </c>
    </row>
    <row r="500" spans="1:7" x14ac:dyDescent="0.25">
      <c r="A500">
        <v>499</v>
      </c>
      <c r="B500" t="s">
        <v>364</v>
      </c>
      <c r="C500" s="13">
        <v>0.9</v>
      </c>
      <c r="D500" s="13">
        <v>1</v>
      </c>
      <c r="E500" s="14">
        <v>-1.6</v>
      </c>
      <c r="F500" s="14">
        <v>0.9</v>
      </c>
      <c r="G500"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500">
    <sortCondition descending="1" ref="E2:E500"/>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29"/>
  <sheetViews>
    <sheetView workbookViewId="0">
      <selection activeCell="A2" sqref="A2:F29"/>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803</v>
      </c>
    </row>
    <row r="2" spans="1:6" x14ac:dyDescent="0.25">
      <c r="A2">
        <v>1</v>
      </c>
      <c r="B2" t="s">
        <v>692</v>
      </c>
      <c r="C2" s="18">
        <v>55.46</v>
      </c>
      <c r="D2" s="13">
        <v>6</v>
      </c>
      <c r="E2" s="31">
        <v>9</v>
      </c>
      <c r="F2" s="31">
        <v>8.5</v>
      </c>
    </row>
    <row r="3" spans="1:6" x14ac:dyDescent="0.25">
      <c r="A3">
        <v>2</v>
      </c>
      <c r="B3" t="s">
        <v>716</v>
      </c>
      <c r="C3" s="18">
        <v>10.220000000000001</v>
      </c>
      <c r="D3" s="13">
        <v>1</v>
      </c>
      <c r="E3" s="31">
        <v>8.6999999999999993</v>
      </c>
      <c r="F3" s="31">
        <v>9.6999999999999993</v>
      </c>
    </row>
    <row r="4" spans="1:6" x14ac:dyDescent="0.25">
      <c r="A4">
        <v>3</v>
      </c>
      <c r="B4" t="s">
        <v>236</v>
      </c>
      <c r="C4" s="18">
        <v>179.42900000000003</v>
      </c>
      <c r="D4" s="13">
        <v>21</v>
      </c>
      <c r="E4" s="31">
        <v>8.6999999999999993</v>
      </c>
      <c r="F4" s="31">
        <v>7.8</v>
      </c>
    </row>
    <row r="5" spans="1:6" x14ac:dyDescent="0.25">
      <c r="A5">
        <v>4</v>
      </c>
      <c r="B5" t="s">
        <v>717</v>
      </c>
      <c r="C5" s="18">
        <v>101.06</v>
      </c>
      <c r="D5" s="13">
        <v>12</v>
      </c>
      <c r="E5" s="31">
        <v>8.5</v>
      </c>
      <c r="F5" s="31">
        <v>7.9</v>
      </c>
    </row>
    <row r="6" spans="1:6" x14ac:dyDescent="0.25">
      <c r="A6">
        <v>5</v>
      </c>
      <c r="B6" t="s">
        <v>626</v>
      </c>
      <c r="C6" s="18">
        <v>26.78</v>
      </c>
      <c r="D6" s="13">
        <v>3</v>
      </c>
      <c r="E6" s="31">
        <v>8.4</v>
      </c>
      <c r="F6" s="31">
        <v>8.1999999999999993</v>
      </c>
    </row>
    <row r="7" spans="1:6" x14ac:dyDescent="0.25">
      <c r="A7">
        <v>6</v>
      </c>
      <c r="B7" t="s">
        <v>218</v>
      </c>
      <c r="C7" s="18">
        <v>377.73899999999992</v>
      </c>
      <c r="D7" s="13">
        <v>46</v>
      </c>
      <c r="E7" s="31">
        <v>8.3000000000000007</v>
      </c>
      <c r="F7" s="31">
        <v>7.5</v>
      </c>
    </row>
    <row r="8" spans="1:6" x14ac:dyDescent="0.25">
      <c r="A8">
        <v>7</v>
      </c>
      <c r="B8" t="s">
        <v>225</v>
      </c>
      <c r="C8" s="18">
        <v>348.31799999999987</v>
      </c>
      <c r="D8" s="13">
        <v>43</v>
      </c>
      <c r="E8" s="31">
        <v>8.1999999999999993</v>
      </c>
      <c r="F8" s="31">
        <v>7.4</v>
      </c>
    </row>
    <row r="9" spans="1:6" x14ac:dyDescent="0.25">
      <c r="A9">
        <v>8</v>
      </c>
      <c r="B9" t="s">
        <v>227</v>
      </c>
      <c r="C9" s="18">
        <v>382.8499999999998</v>
      </c>
      <c r="D9" s="13">
        <v>48</v>
      </c>
      <c r="E9" s="31">
        <v>8.1</v>
      </c>
      <c r="F9" s="31">
        <v>7.4</v>
      </c>
    </row>
    <row r="10" spans="1:6" x14ac:dyDescent="0.25">
      <c r="A10">
        <v>9</v>
      </c>
      <c r="B10" t="s">
        <v>230</v>
      </c>
      <c r="C10" s="18">
        <v>135.459</v>
      </c>
      <c r="D10" s="13">
        <v>17</v>
      </c>
      <c r="E10" s="31">
        <v>8.1</v>
      </c>
      <c r="F10" s="31">
        <v>7.4</v>
      </c>
    </row>
    <row r="11" spans="1:6" x14ac:dyDescent="0.25">
      <c r="A11">
        <v>10</v>
      </c>
      <c r="B11" t="s">
        <v>232</v>
      </c>
      <c r="C11" s="18">
        <v>229.25899999999999</v>
      </c>
      <c r="D11" s="13">
        <v>29</v>
      </c>
      <c r="E11" s="31">
        <v>8</v>
      </c>
      <c r="F11" s="31">
        <v>7.4</v>
      </c>
    </row>
    <row r="12" spans="1:6" x14ac:dyDescent="0.25">
      <c r="A12">
        <v>11</v>
      </c>
      <c r="B12" t="s">
        <v>219</v>
      </c>
      <c r="C12" s="18">
        <v>834.53599999999892</v>
      </c>
      <c r="D12" s="13">
        <v>106</v>
      </c>
      <c r="E12" s="31">
        <v>7.9</v>
      </c>
      <c r="F12" s="31">
        <v>7.2</v>
      </c>
    </row>
    <row r="13" spans="1:6" x14ac:dyDescent="0.25">
      <c r="A13">
        <v>12</v>
      </c>
      <c r="B13" t="s">
        <v>259</v>
      </c>
      <c r="C13" s="18">
        <v>9.16</v>
      </c>
      <c r="D13" s="13">
        <v>1</v>
      </c>
      <c r="E13" s="31">
        <v>7.7</v>
      </c>
      <c r="F13" s="31">
        <v>8.4</v>
      </c>
    </row>
    <row r="14" spans="1:6" x14ac:dyDescent="0.25">
      <c r="A14">
        <v>13</v>
      </c>
      <c r="B14" t="s">
        <v>718</v>
      </c>
      <c r="C14" s="18">
        <v>39.03</v>
      </c>
      <c r="D14" s="13">
        <v>5</v>
      </c>
      <c r="E14" s="31">
        <v>7.5</v>
      </c>
      <c r="F14" s="31">
        <v>7.3</v>
      </c>
    </row>
    <row r="15" spans="1:6" x14ac:dyDescent="0.25">
      <c r="A15">
        <v>14</v>
      </c>
      <c r="B15" t="s">
        <v>233</v>
      </c>
      <c r="C15" s="18">
        <v>60.06</v>
      </c>
      <c r="D15" s="13">
        <v>8</v>
      </c>
      <c r="E15" s="31">
        <v>7.3</v>
      </c>
      <c r="F15" s="31">
        <v>6.8</v>
      </c>
    </row>
    <row r="16" spans="1:6" x14ac:dyDescent="0.25">
      <c r="A16">
        <v>15</v>
      </c>
      <c r="B16" t="s">
        <v>715</v>
      </c>
      <c r="C16" s="18">
        <v>30.61</v>
      </c>
      <c r="D16" s="13">
        <v>4</v>
      </c>
      <c r="E16" s="31">
        <v>7.3</v>
      </c>
      <c r="F16" s="31">
        <v>7.2</v>
      </c>
    </row>
    <row r="17" spans="1:6" x14ac:dyDescent="0.25">
      <c r="A17">
        <v>16</v>
      </c>
      <c r="B17" t="s">
        <v>707</v>
      </c>
      <c r="C17" s="18">
        <v>23.509999999999998</v>
      </c>
      <c r="D17" s="13">
        <v>3</v>
      </c>
      <c r="E17" s="31">
        <v>7.3</v>
      </c>
      <c r="F17" s="31">
        <v>7.2</v>
      </c>
    </row>
    <row r="18" spans="1:6" x14ac:dyDescent="0.25">
      <c r="A18">
        <v>17</v>
      </c>
      <c r="B18" t="s">
        <v>220</v>
      </c>
      <c r="C18" s="18">
        <v>238.37900000000008</v>
      </c>
      <c r="D18" s="13">
        <v>35</v>
      </c>
      <c r="E18" s="31">
        <v>7</v>
      </c>
      <c r="F18" s="31">
        <v>6.1</v>
      </c>
    </row>
    <row r="19" spans="1:6" x14ac:dyDescent="0.25">
      <c r="A19">
        <v>18</v>
      </c>
      <c r="B19" t="s">
        <v>226</v>
      </c>
      <c r="C19" s="18">
        <v>76.020000000000024</v>
      </c>
      <c r="D19" s="13">
        <v>11</v>
      </c>
      <c r="E19" s="31">
        <v>7</v>
      </c>
      <c r="F19" s="31">
        <v>6.3</v>
      </c>
    </row>
    <row r="20" spans="1:6" x14ac:dyDescent="0.25">
      <c r="A20">
        <v>19</v>
      </c>
      <c r="B20" t="s">
        <v>229</v>
      </c>
      <c r="C20" s="18">
        <v>407.51699999999983</v>
      </c>
      <c r="D20" s="13">
        <v>60</v>
      </c>
      <c r="E20" s="31">
        <v>6.9</v>
      </c>
      <c r="F20" s="31">
        <v>6.1</v>
      </c>
    </row>
    <row r="21" spans="1:6" x14ac:dyDescent="0.25">
      <c r="A21">
        <v>20</v>
      </c>
      <c r="B21" t="s">
        <v>231</v>
      </c>
      <c r="C21" s="18">
        <v>92.908000000000015</v>
      </c>
      <c r="D21" s="13">
        <v>14</v>
      </c>
      <c r="E21" s="31">
        <v>6.7</v>
      </c>
      <c r="F21" s="31">
        <v>6</v>
      </c>
    </row>
    <row r="22" spans="1:6" x14ac:dyDescent="0.25">
      <c r="A22">
        <v>21</v>
      </c>
      <c r="B22" t="s">
        <v>235</v>
      </c>
      <c r="C22" s="18">
        <v>48.749999999999993</v>
      </c>
      <c r="D22" s="13">
        <v>7</v>
      </c>
      <c r="E22" s="31">
        <v>6.7</v>
      </c>
      <c r="F22" s="31">
        <v>6.4</v>
      </c>
    </row>
    <row r="23" spans="1:6" x14ac:dyDescent="0.25">
      <c r="A23">
        <v>22</v>
      </c>
      <c r="B23" t="s">
        <v>237</v>
      </c>
      <c r="C23" s="18">
        <v>8.14</v>
      </c>
      <c r="D23" s="13">
        <v>1</v>
      </c>
      <c r="E23" s="31">
        <v>6.6</v>
      </c>
      <c r="F23" s="31">
        <v>7.6</v>
      </c>
    </row>
    <row r="24" spans="1:6" x14ac:dyDescent="0.25">
      <c r="A24">
        <v>23</v>
      </c>
      <c r="B24" t="s">
        <v>427</v>
      </c>
      <c r="C24" s="18">
        <v>20.719000000000001</v>
      </c>
      <c r="D24" s="13">
        <v>3</v>
      </c>
      <c r="E24" s="31">
        <v>6.4</v>
      </c>
      <c r="F24" s="31">
        <v>6.2</v>
      </c>
    </row>
    <row r="25" spans="1:6" x14ac:dyDescent="0.25">
      <c r="A25">
        <v>24</v>
      </c>
      <c r="B25" t="s">
        <v>234</v>
      </c>
      <c r="C25" s="18">
        <v>7.66</v>
      </c>
      <c r="D25" s="13">
        <v>1</v>
      </c>
      <c r="E25" s="31">
        <v>6.2</v>
      </c>
      <c r="F25" s="31">
        <v>7</v>
      </c>
    </row>
    <row r="26" spans="1:6" x14ac:dyDescent="0.25">
      <c r="A26">
        <v>25</v>
      </c>
      <c r="B26" t="s">
        <v>719</v>
      </c>
      <c r="C26" s="18">
        <v>10.98</v>
      </c>
      <c r="D26" s="13">
        <v>2</v>
      </c>
      <c r="E26" s="31">
        <v>4.7</v>
      </c>
      <c r="F26" s="31">
        <v>4.9000000000000004</v>
      </c>
    </row>
    <row r="27" spans="1:6" x14ac:dyDescent="0.25">
      <c r="A27">
        <v>26</v>
      </c>
      <c r="B27" t="s">
        <v>900</v>
      </c>
      <c r="C27" s="18">
        <v>5.62</v>
      </c>
      <c r="D27" s="13">
        <v>1</v>
      </c>
      <c r="E27" s="31">
        <v>4.0999999999999996</v>
      </c>
      <c r="F27" s="31">
        <v>5.0999999999999996</v>
      </c>
    </row>
    <row r="28" spans="1:6" x14ac:dyDescent="0.25">
      <c r="A28">
        <v>27</v>
      </c>
      <c r="B28" t="s">
        <v>911</v>
      </c>
      <c r="C28" s="18">
        <v>5.3</v>
      </c>
      <c r="D28" s="13">
        <v>1</v>
      </c>
      <c r="E28" s="31">
        <v>3.8</v>
      </c>
      <c r="F28" s="31">
        <v>4.8</v>
      </c>
    </row>
    <row r="29" spans="1:6" x14ac:dyDescent="0.25">
      <c r="A29">
        <v>28</v>
      </c>
      <c r="B29" t="s">
        <v>627</v>
      </c>
      <c r="C29" s="18">
        <v>3.85</v>
      </c>
      <c r="D29" s="13">
        <v>1</v>
      </c>
      <c r="E29" s="31">
        <v>2.4</v>
      </c>
      <c r="F29"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29">
    <sortCondition descending="1" ref="E2:E2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2"/>
  <sheetViews>
    <sheetView topLeftCell="A41" workbookViewId="0">
      <selection activeCell="A2" sqref="A2:F122"/>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803</v>
      </c>
    </row>
    <row r="2" spans="1:14" x14ac:dyDescent="0.25">
      <c r="A2">
        <v>1</v>
      </c>
      <c r="B2" t="s">
        <v>41</v>
      </c>
      <c r="C2" s="18">
        <v>40.54</v>
      </c>
      <c r="D2" s="13">
        <v>5</v>
      </c>
      <c r="E2" s="18">
        <v>9.3000000000000007</v>
      </c>
      <c r="F2" s="13">
        <v>8.1</v>
      </c>
    </row>
    <row r="3" spans="1:14" x14ac:dyDescent="0.25">
      <c r="A3">
        <v>2</v>
      </c>
      <c r="B3" t="s">
        <v>39</v>
      </c>
      <c r="C3" s="18">
        <v>47.23</v>
      </c>
      <c r="D3" s="13">
        <v>6</v>
      </c>
      <c r="E3" s="18">
        <v>8.9</v>
      </c>
      <c r="F3" s="13">
        <v>7.9</v>
      </c>
    </row>
    <row r="4" spans="1:14" x14ac:dyDescent="0.25">
      <c r="A4">
        <v>3</v>
      </c>
      <c r="B4" t="s">
        <v>66</v>
      </c>
      <c r="C4" s="18">
        <v>59.938000000000002</v>
      </c>
      <c r="D4" s="13">
        <v>8</v>
      </c>
      <c r="E4" s="18">
        <v>8.6999999999999993</v>
      </c>
      <c r="F4" s="13">
        <v>7.5</v>
      </c>
      <c r="N4" s="10"/>
    </row>
    <row r="5" spans="1:14" x14ac:dyDescent="0.25">
      <c r="A5">
        <v>4</v>
      </c>
      <c r="B5" t="s">
        <v>38</v>
      </c>
      <c r="C5" s="18">
        <v>18.260000000000002</v>
      </c>
      <c r="D5" s="13">
        <v>2</v>
      </c>
      <c r="E5" s="18">
        <v>8.4</v>
      </c>
      <c r="F5" s="13">
        <v>9.1</v>
      </c>
      <c r="N5" s="10"/>
    </row>
    <row r="6" spans="1:14" x14ac:dyDescent="0.25">
      <c r="A6">
        <v>5</v>
      </c>
      <c r="B6" t="s">
        <v>243</v>
      </c>
      <c r="C6" s="18">
        <v>9.7200000000000006</v>
      </c>
      <c r="D6" s="13">
        <v>1</v>
      </c>
      <c r="E6" s="18">
        <v>8.1999999999999993</v>
      </c>
      <c r="F6" s="13">
        <v>9.6999999999999993</v>
      </c>
      <c r="N6" s="5"/>
    </row>
    <row r="7" spans="1:14" x14ac:dyDescent="0.25">
      <c r="A7">
        <v>6</v>
      </c>
      <c r="B7" s="5" t="s">
        <v>40</v>
      </c>
      <c r="C7" s="18">
        <v>9.7100000000000009</v>
      </c>
      <c r="D7" s="13">
        <v>1</v>
      </c>
      <c r="E7" s="18">
        <v>8.1999999999999993</v>
      </c>
      <c r="F7" s="13">
        <v>9.6999999999999993</v>
      </c>
      <c r="N7" s="10"/>
    </row>
    <row r="8" spans="1:14" x14ac:dyDescent="0.25">
      <c r="A8">
        <v>7</v>
      </c>
      <c r="B8" t="s">
        <v>528</v>
      </c>
      <c r="C8" s="18">
        <v>26.159999999999997</v>
      </c>
      <c r="D8" s="13">
        <v>3</v>
      </c>
      <c r="E8" s="18">
        <v>8.1999999999999993</v>
      </c>
      <c r="F8" s="13">
        <v>8.6999999999999993</v>
      </c>
      <c r="N8" s="5"/>
    </row>
    <row r="9" spans="1:14" x14ac:dyDescent="0.25">
      <c r="A9">
        <v>8</v>
      </c>
      <c r="B9" t="s">
        <v>442</v>
      </c>
      <c r="C9" s="18">
        <v>9.6199999999999992</v>
      </c>
      <c r="D9" s="13">
        <v>1</v>
      </c>
      <c r="E9" s="18">
        <v>8.1</v>
      </c>
      <c r="F9" s="13">
        <v>9.6</v>
      </c>
      <c r="N9" s="10"/>
    </row>
    <row r="10" spans="1:14" x14ac:dyDescent="0.25">
      <c r="A10">
        <v>9</v>
      </c>
      <c r="B10" t="s">
        <v>553</v>
      </c>
      <c r="C10" s="18">
        <v>9.61</v>
      </c>
      <c r="D10" s="13">
        <v>1</v>
      </c>
      <c r="E10" s="18">
        <v>8.1</v>
      </c>
      <c r="F10" s="13">
        <v>9.6</v>
      </c>
      <c r="N10" s="10"/>
    </row>
    <row r="11" spans="1:14" x14ac:dyDescent="0.25">
      <c r="A11">
        <v>10</v>
      </c>
      <c r="B11" t="s">
        <v>253</v>
      </c>
      <c r="C11" s="18">
        <v>9.52</v>
      </c>
      <c r="D11" s="13">
        <v>1</v>
      </c>
      <c r="E11" s="18">
        <v>8</v>
      </c>
      <c r="F11" s="13">
        <v>9.5</v>
      </c>
      <c r="N11" s="5"/>
    </row>
    <row r="12" spans="1:14" x14ac:dyDescent="0.25">
      <c r="A12">
        <v>11</v>
      </c>
      <c r="B12" t="s">
        <v>397</v>
      </c>
      <c r="C12" s="18">
        <v>25.410000000000004</v>
      </c>
      <c r="D12" s="13">
        <v>3</v>
      </c>
      <c r="E12" s="18">
        <v>8</v>
      </c>
      <c r="F12" s="13">
        <v>8.5</v>
      </c>
      <c r="N12" s="5"/>
    </row>
    <row r="13" spans="1:14" x14ac:dyDescent="0.25">
      <c r="A13">
        <v>12</v>
      </c>
      <c r="B13" s="10" t="s">
        <v>42</v>
      </c>
      <c r="C13" s="18">
        <v>17.450000000000003</v>
      </c>
      <c r="D13" s="13">
        <v>2</v>
      </c>
      <c r="E13" s="18">
        <v>8</v>
      </c>
      <c r="F13" s="13">
        <v>8.6999999999999993</v>
      </c>
      <c r="N13" s="10"/>
    </row>
    <row r="14" spans="1:14" x14ac:dyDescent="0.25">
      <c r="A14">
        <v>13</v>
      </c>
      <c r="B14" t="s">
        <v>714</v>
      </c>
      <c r="C14" s="18">
        <v>9.41</v>
      </c>
      <c r="D14" s="13">
        <v>1</v>
      </c>
      <c r="E14" s="18">
        <v>7.9</v>
      </c>
      <c r="F14" s="13">
        <v>9.4</v>
      </c>
    </row>
    <row r="15" spans="1:14" x14ac:dyDescent="0.25">
      <c r="A15">
        <v>14</v>
      </c>
      <c r="B15" s="10" t="s">
        <v>59</v>
      </c>
      <c r="C15" s="18">
        <v>25.17</v>
      </c>
      <c r="D15" s="13">
        <v>3</v>
      </c>
      <c r="E15" s="18">
        <v>7.9</v>
      </c>
      <c r="F15" s="13">
        <v>8.4</v>
      </c>
    </row>
    <row r="16" spans="1:14" x14ac:dyDescent="0.25">
      <c r="A16">
        <v>15</v>
      </c>
      <c r="B16" t="s">
        <v>37</v>
      </c>
      <c r="C16" s="18">
        <v>60.239999999999995</v>
      </c>
      <c r="D16" s="13">
        <v>9</v>
      </c>
      <c r="E16" s="18">
        <v>7.8</v>
      </c>
      <c r="F16" s="13">
        <v>6.7</v>
      </c>
    </row>
    <row r="17" spans="1:6" x14ac:dyDescent="0.25">
      <c r="A17">
        <v>16</v>
      </c>
      <c r="B17" t="s">
        <v>744</v>
      </c>
      <c r="C17" s="18">
        <v>9.33</v>
      </c>
      <c r="D17" s="13">
        <v>1</v>
      </c>
      <c r="E17" s="18">
        <v>7.8</v>
      </c>
      <c r="F17" s="13">
        <v>9.3000000000000007</v>
      </c>
    </row>
    <row r="18" spans="1:6" x14ac:dyDescent="0.25">
      <c r="A18">
        <v>17</v>
      </c>
      <c r="B18" t="s">
        <v>761</v>
      </c>
      <c r="C18" s="18">
        <v>17.170000000000002</v>
      </c>
      <c r="D18" s="13">
        <v>2</v>
      </c>
      <c r="E18" s="18">
        <v>7.8</v>
      </c>
      <c r="F18" s="13">
        <v>8.6</v>
      </c>
    </row>
    <row r="19" spans="1:6" x14ac:dyDescent="0.25">
      <c r="A19">
        <v>18</v>
      </c>
      <c r="B19" t="s">
        <v>498</v>
      </c>
      <c r="C19" s="18">
        <v>9.1300000000000008</v>
      </c>
      <c r="D19" s="13">
        <v>1</v>
      </c>
      <c r="E19" s="18">
        <v>7.6</v>
      </c>
      <c r="F19" s="13">
        <v>9.1</v>
      </c>
    </row>
    <row r="20" spans="1:6" x14ac:dyDescent="0.25">
      <c r="A20">
        <v>19</v>
      </c>
      <c r="B20" t="s">
        <v>791</v>
      </c>
      <c r="C20" s="18">
        <v>9.1199999999999992</v>
      </c>
      <c r="D20" s="13">
        <v>1</v>
      </c>
      <c r="E20" s="18">
        <v>7.6</v>
      </c>
      <c r="F20" s="13">
        <v>9.1</v>
      </c>
    </row>
    <row r="21" spans="1:6" x14ac:dyDescent="0.25">
      <c r="A21">
        <v>20</v>
      </c>
      <c r="B21" t="s">
        <v>424</v>
      </c>
      <c r="C21" s="18">
        <v>9.11</v>
      </c>
      <c r="D21" s="13">
        <v>1</v>
      </c>
      <c r="E21" s="18">
        <v>7.6</v>
      </c>
      <c r="F21" s="13">
        <v>9.1</v>
      </c>
    </row>
    <row r="22" spans="1:6" x14ac:dyDescent="0.25">
      <c r="A22">
        <v>21</v>
      </c>
      <c r="B22" t="s">
        <v>162</v>
      </c>
      <c r="C22" s="18">
        <v>31.580000000000002</v>
      </c>
      <c r="D22" s="13">
        <v>5</v>
      </c>
      <c r="E22" s="18">
        <v>7.5</v>
      </c>
      <c r="F22" s="13">
        <v>6.3</v>
      </c>
    </row>
    <row r="23" spans="1:6" x14ac:dyDescent="0.25">
      <c r="A23">
        <v>22</v>
      </c>
      <c r="B23" t="s">
        <v>166</v>
      </c>
      <c r="C23" s="18">
        <v>16.27</v>
      </c>
      <c r="D23" s="13">
        <v>2</v>
      </c>
      <c r="E23" s="18">
        <v>7.4</v>
      </c>
      <c r="F23" s="13">
        <v>8.1</v>
      </c>
    </row>
    <row r="24" spans="1:6" x14ac:dyDescent="0.25">
      <c r="A24">
        <v>23</v>
      </c>
      <c r="B24" t="s">
        <v>388</v>
      </c>
      <c r="C24" s="18">
        <v>8.94</v>
      </c>
      <c r="D24" s="13">
        <v>1</v>
      </c>
      <c r="E24" s="18">
        <v>7.4</v>
      </c>
      <c r="F24" s="13">
        <v>8.9</v>
      </c>
    </row>
    <row r="25" spans="1:6" x14ac:dyDescent="0.25">
      <c r="A25">
        <v>24</v>
      </c>
      <c r="B25" t="s">
        <v>365</v>
      </c>
      <c r="C25" s="18">
        <v>27.17</v>
      </c>
      <c r="D25" s="13">
        <v>4</v>
      </c>
      <c r="E25" s="18">
        <v>7.4</v>
      </c>
      <c r="F25" s="13">
        <v>6.8</v>
      </c>
    </row>
    <row r="26" spans="1:6" x14ac:dyDescent="0.25">
      <c r="A26">
        <v>25</v>
      </c>
      <c r="B26" t="s">
        <v>366</v>
      </c>
      <c r="C26" s="18">
        <v>16.04</v>
      </c>
      <c r="D26" s="13">
        <v>2</v>
      </c>
      <c r="E26" s="18">
        <v>7.3</v>
      </c>
      <c r="F26" s="13">
        <v>8</v>
      </c>
    </row>
    <row r="27" spans="1:6" x14ac:dyDescent="0.25">
      <c r="A27">
        <v>26</v>
      </c>
      <c r="B27" t="s">
        <v>756</v>
      </c>
      <c r="C27" s="18">
        <v>15.830000000000002</v>
      </c>
      <c r="D27" s="13">
        <v>2</v>
      </c>
      <c r="E27" s="18">
        <v>7.2</v>
      </c>
      <c r="F27" s="13">
        <v>7.9</v>
      </c>
    </row>
    <row r="28" spans="1:6" x14ac:dyDescent="0.25">
      <c r="A28">
        <v>27</v>
      </c>
      <c r="B28" t="s">
        <v>84</v>
      </c>
      <c r="C28" s="18">
        <v>8.7100000000000009</v>
      </c>
      <c r="D28" s="13">
        <v>1</v>
      </c>
      <c r="E28" s="18">
        <v>7.2</v>
      </c>
      <c r="F28" s="13">
        <v>8.6999999999999993</v>
      </c>
    </row>
    <row r="29" spans="1:6" x14ac:dyDescent="0.25">
      <c r="A29">
        <v>28</v>
      </c>
      <c r="B29" t="s">
        <v>542</v>
      </c>
      <c r="C29" s="18">
        <v>25.949999999999996</v>
      </c>
      <c r="D29" s="13">
        <v>4</v>
      </c>
      <c r="E29" s="18">
        <v>7.1</v>
      </c>
      <c r="F29" s="13">
        <v>6.5</v>
      </c>
    </row>
    <row r="30" spans="1:6" x14ac:dyDescent="0.25">
      <c r="A30">
        <v>29</v>
      </c>
      <c r="B30" t="s">
        <v>558</v>
      </c>
      <c r="C30" s="18">
        <v>8.61</v>
      </c>
      <c r="D30" s="13">
        <v>1</v>
      </c>
      <c r="E30" s="18">
        <v>7.1</v>
      </c>
      <c r="F30" s="13">
        <v>8.6</v>
      </c>
    </row>
    <row r="31" spans="1:6" x14ac:dyDescent="0.25">
      <c r="A31">
        <v>30</v>
      </c>
      <c r="B31" t="s">
        <v>69</v>
      </c>
      <c r="C31" s="18">
        <v>22.509</v>
      </c>
      <c r="D31" s="13">
        <v>3</v>
      </c>
      <c r="E31" s="18">
        <v>7</v>
      </c>
      <c r="F31" s="13">
        <v>7.5</v>
      </c>
    </row>
    <row r="32" spans="1:6" x14ac:dyDescent="0.25">
      <c r="A32">
        <v>31</v>
      </c>
      <c r="B32" t="s">
        <v>248</v>
      </c>
      <c r="C32" s="18">
        <v>8.52</v>
      </c>
      <c r="D32" s="13">
        <v>1</v>
      </c>
      <c r="E32" s="18">
        <v>7</v>
      </c>
      <c r="F32" s="13">
        <v>8.5</v>
      </c>
    </row>
    <row r="33" spans="1:6" x14ac:dyDescent="0.25">
      <c r="A33">
        <v>32</v>
      </c>
      <c r="B33" t="s">
        <v>73</v>
      </c>
      <c r="C33" s="18">
        <v>8.51</v>
      </c>
      <c r="D33" s="13">
        <v>1</v>
      </c>
      <c r="E33" s="18">
        <v>7</v>
      </c>
      <c r="F33" s="13">
        <v>8.5</v>
      </c>
    </row>
    <row r="34" spans="1:6" x14ac:dyDescent="0.25">
      <c r="A34">
        <v>33</v>
      </c>
      <c r="B34" t="s">
        <v>701</v>
      </c>
      <c r="C34" s="18">
        <v>8.42</v>
      </c>
      <c r="D34" s="13">
        <v>1</v>
      </c>
      <c r="E34" s="18">
        <v>6.9</v>
      </c>
      <c r="F34" s="13">
        <v>8.4</v>
      </c>
    </row>
    <row r="35" spans="1:6" x14ac:dyDescent="0.25">
      <c r="A35">
        <v>34</v>
      </c>
      <c r="B35" t="s">
        <v>258</v>
      </c>
      <c r="C35" s="18">
        <v>8.41</v>
      </c>
      <c r="D35" s="13">
        <v>1</v>
      </c>
      <c r="E35" s="18">
        <v>6.9</v>
      </c>
      <c r="F35" s="13">
        <v>8.4</v>
      </c>
    </row>
    <row r="36" spans="1:6" x14ac:dyDescent="0.25">
      <c r="A36">
        <v>35</v>
      </c>
      <c r="B36" t="s">
        <v>367</v>
      </c>
      <c r="C36" s="18">
        <v>22.338999999999999</v>
      </c>
      <c r="D36" s="13">
        <v>3</v>
      </c>
      <c r="E36" s="18">
        <v>6.9</v>
      </c>
      <c r="F36" s="13">
        <v>7.4</v>
      </c>
    </row>
    <row r="37" spans="1:6" x14ac:dyDescent="0.25">
      <c r="A37">
        <v>36</v>
      </c>
      <c r="B37" t="s">
        <v>811</v>
      </c>
      <c r="C37" s="18">
        <v>21.83</v>
      </c>
      <c r="D37" s="13">
        <v>3</v>
      </c>
      <c r="E37" s="18">
        <v>6.8</v>
      </c>
      <c r="F37" s="13">
        <v>7.3</v>
      </c>
    </row>
    <row r="38" spans="1:6" x14ac:dyDescent="0.25">
      <c r="A38">
        <v>37</v>
      </c>
      <c r="B38" t="s">
        <v>45</v>
      </c>
      <c r="C38" s="18">
        <v>14.82</v>
      </c>
      <c r="D38" s="13">
        <v>2</v>
      </c>
      <c r="E38" s="18">
        <v>6.7</v>
      </c>
      <c r="F38" s="13">
        <v>7.4</v>
      </c>
    </row>
    <row r="39" spans="1:6" x14ac:dyDescent="0.25">
      <c r="A39">
        <v>38</v>
      </c>
      <c r="B39" t="s">
        <v>530</v>
      </c>
      <c r="C39" s="18">
        <v>8.2100000000000009</v>
      </c>
      <c r="D39" s="13">
        <v>1</v>
      </c>
      <c r="E39" s="18">
        <v>6.7</v>
      </c>
      <c r="F39" s="13">
        <v>8.1999999999999993</v>
      </c>
    </row>
    <row r="40" spans="1:6" x14ac:dyDescent="0.25">
      <c r="A40">
        <v>39</v>
      </c>
      <c r="B40" t="s">
        <v>47</v>
      </c>
      <c r="C40" s="18">
        <v>21.36</v>
      </c>
      <c r="D40" s="13">
        <v>3</v>
      </c>
      <c r="E40" s="18">
        <v>6.6</v>
      </c>
      <c r="F40" s="13">
        <v>7.1</v>
      </c>
    </row>
    <row r="41" spans="1:6" x14ac:dyDescent="0.25">
      <c r="A41">
        <v>40</v>
      </c>
      <c r="B41" t="s">
        <v>112</v>
      </c>
      <c r="C41" s="18">
        <v>8.14</v>
      </c>
      <c r="D41" s="13">
        <v>1</v>
      </c>
      <c r="E41" s="18">
        <v>6.6</v>
      </c>
      <c r="F41" s="13">
        <v>8.1</v>
      </c>
    </row>
    <row r="42" spans="1:6" x14ac:dyDescent="0.25">
      <c r="A42">
        <v>41</v>
      </c>
      <c r="B42" s="10" t="s">
        <v>156</v>
      </c>
      <c r="C42" s="18">
        <v>8.1199999999999992</v>
      </c>
      <c r="D42" s="13">
        <v>1</v>
      </c>
      <c r="E42" s="18">
        <v>6.6</v>
      </c>
      <c r="F42" s="13">
        <v>8.1</v>
      </c>
    </row>
    <row r="43" spans="1:6" x14ac:dyDescent="0.25">
      <c r="A43">
        <v>42</v>
      </c>
      <c r="B43" t="s">
        <v>492</v>
      </c>
      <c r="C43" s="18">
        <v>14.64</v>
      </c>
      <c r="D43" s="13">
        <v>2</v>
      </c>
      <c r="E43" s="18">
        <v>6.6</v>
      </c>
      <c r="F43" s="13">
        <v>7.3</v>
      </c>
    </row>
    <row r="44" spans="1:6" x14ac:dyDescent="0.25">
      <c r="A44">
        <v>43</v>
      </c>
      <c r="B44" t="s">
        <v>624</v>
      </c>
      <c r="C44" s="18">
        <v>14.549999999999999</v>
      </c>
      <c r="D44" s="13">
        <v>2</v>
      </c>
      <c r="E44" s="18">
        <v>6.5</v>
      </c>
      <c r="F44" s="13">
        <v>7.3</v>
      </c>
    </row>
    <row r="45" spans="1:6" x14ac:dyDescent="0.25">
      <c r="A45">
        <v>44</v>
      </c>
      <c r="B45" t="s">
        <v>595</v>
      </c>
      <c r="C45" s="18">
        <v>8.0399999999999991</v>
      </c>
      <c r="D45" s="13">
        <v>1</v>
      </c>
      <c r="E45" s="18">
        <v>6.5</v>
      </c>
      <c r="F45" s="13">
        <v>8</v>
      </c>
    </row>
    <row r="46" spans="1:6" x14ac:dyDescent="0.25">
      <c r="A46">
        <v>45</v>
      </c>
      <c r="B46" t="s">
        <v>55</v>
      </c>
      <c r="C46" s="18">
        <v>8.0299999999999994</v>
      </c>
      <c r="D46" s="13">
        <v>1</v>
      </c>
      <c r="E46" s="18">
        <v>6.5</v>
      </c>
      <c r="F46" s="13">
        <v>8</v>
      </c>
    </row>
    <row r="47" spans="1:6" x14ac:dyDescent="0.25">
      <c r="A47">
        <v>46</v>
      </c>
      <c r="B47" s="5" t="s">
        <v>765</v>
      </c>
      <c r="C47" s="18">
        <v>8.02</v>
      </c>
      <c r="D47" s="13">
        <v>1</v>
      </c>
      <c r="E47" s="18">
        <v>6.5</v>
      </c>
      <c r="F47" s="13">
        <v>8</v>
      </c>
    </row>
    <row r="48" spans="1:6" x14ac:dyDescent="0.25">
      <c r="A48">
        <v>47</v>
      </c>
      <c r="B48" t="s">
        <v>752</v>
      </c>
      <c r="C48" s="18">
        <v>8.01</v>
      </c>
      <c r="D48" s="13">
        <v>1</v>
      </c>
      <c r="E48" s="18">
        <v>6.5</v>
      </c>
      <c r="F48" s="13">
        <v>8</v>
      </c>
    </row>
    <row r="49" spans="1:6" x14ac:dyDescent="0.25">
      <c r="A49">
        <v>48</v>
      </c>
      <c r="B49" t="s">
        <v>864</v>
      </c>
      <c r="C49" s="18">
        <v>7.94</v>
      </c>
      <c r="D49" s="13">
        <v>1</v>
      </c>
      <c r="E49" s="18">
        <v>6.4</v>
      </c>
      <c r="F49" s="13">
        <v>7.9</v>
      </c>
    </row>
    <row r="50" spans="1:6" x14ac:dyDescent="0.25">
      <c r="A50">
        <v>49</v>
      </c>
      <c r="B50" s="10" t="s">
        <v>986</v>
      </c>
      <c r="C50" s="18">
        <v>7.91</v>
      </c>
      <c r="D50" s="13">
        <v>1</v>
      </c>
      <c r="E50" s="18">
        <v>6.4</v>
      </c>
      <c r="F50" s="13">
        <v>7.9</v>
      </c>
    </row>
    <row r="51" spans="1:6" x14ac:dyDescent="0.25">
      <c r="A51">
        <v>50</v>
      </c>
      <c r="B51" t="s">
        <v>374</v>
      </c>
      <c r="C51" s="18">
        <v>14.260000000000002</v>
      </c>
      <c r="D51" s="13">
        <v>2</v>
      </c>
      <c r="E51" s="18">
        <v>6.4</v>
      </c>
      <c r="F51" s="13">
        <v>7.1</v>
      </c>
    </row>
    <row r="52" spans="1:6" x14ac:dyDescent="0.25">
      <c r="A52">
        <v>51</v>
      </c>
      <c r="B52" t="s">
        <v>786</v>
      </c>
      <c r="C52" s="18">
        <v>7.8490000000000002</v>
      </c>
      <c r="D52" s="13">
        <v>1</v>
      </c>
      <c r="E52" s="18">
        <v>6.3</v>
      </c>
      <c r="F52" s="13">
        <v>7.8</v>
      </c>
    </row>
    <row r="53" spans="1:6" x14ac:dyDescent="0.25">
      <c r="A53">
        <v>52</v>
      </c>
      <c r="B53" t="s">
        <v>706</v>
      </c>
      <c r="C53" s="18">
        <v>7.83</v>
      </c>
      <c r="D53" s="13">
        <v>1</v>
      </c>
      <c r="E53" s="18">
        <v>6.3</v>
      </c>
      <c r="F53" s="13">
        <v>7.8</v>
      </c>
    </row>
    <row r="54" spans="1:6" x14ac:dyDescent="0.25">
      <c r="A54">
        <v>53</v>
      </c>
      <c r="B54" s="10" t="s">
        <v>169</v>
      </c>
      <c r="C54" s="18">
        <v>7.82</v>
      </c>
      <c r="D54" s="13">
        <v>1</v>
      </c>
      <c r="E54" s="18">
        <v>6.3</v>
      </c>
      <c r="F54" s="13">
        <v>7.8</v>
      </c>
    </row>
    <row r="55" spans="1:6" x14ac:dyDescent="0.25">
      <c r="A55">
        <v>54</v>
      </c>
      <c r="B55" t="s">
        <v>22</v>
      </c>
      <c r="C55" s="18">
        <v>7.81</v>
      </c>
      <c r="D55" s="13">
        <v>1</v>
      </c>
      <c r="E55" s="18">
        <v>6.3</v>
      </c>
      <c r="F55" s="13">
        <v>7.8</v>
      </c>
    </row>
    <row r="56" spans="1:6" x14ac:dyDescent="0.25">
      <c r="A56">
        <v>55</v>
      </c>
      <c r="B56" t="s">
        <v>406</v>
      </c>
      <c r="C56" s="18">
        <v>7.73</v>
      </c>
      <c r="D56" s="13">
        <v>1</v>
      </c>
      <c r="E56" s="18">
        <v>6.2</v>
      </c>
      <c r="F56" s="13">
        <v>7.7</v>
      </c>
    </row>
    <row r="57" spans="1:6" x14ac:dyDescent="0.25">
      <c r="A57">
        <v>56</v>
      </c>
      <c r="B57" t="s">
        <v>477</v>
      </c>
      <c r="C57" s="18">
        <v>7.72</v>
      </c>
      <c r="D57" s="13">
        <v>1</v>
      </c>
      <c r="E57" s="18">
        <v>6.2</v>
      </c>
      <c r="F57" s="13">
        <v>7.7</v>
      </c>
    </row>
    <row r="58" spans="1:6" x14ac:dyDescent="0.25">
      <c r="A58">
        <v>57</v>
      </c>
      <c r="B58" s="5" t="s">
        <v>154</v>
      </c>
      <c r="C58" s="18">
        <v>7.63</v>
      </c>
      <c r="D58" s="13">
        <v>1</v>
      </c>
      <c r="E58" s="18">
        <v>6.1</v>
      </c>
      <c r="F58" s="13">
        <v>7.6</v>
      </c>
    </row>
    <row r="59" spans="1:6" x14ac:dyDescent="0.25">
      <c r="A59">
        <v>58</v>
      </c>
      <c r="B59" t="s">
        <v>192</v>
      </c>
      <c r="C59" s="18">
        <v>13.719999999999999</v>
      </c>
      <c r="D59" s="13">
        <v>2</v>
      </c>
      <c r="E59" s="18">
        <v>6.1</v>
      </c>
      <c r="F59" s="13">
        <v>6.9</v>
      </c>
    </row>
    <row r="60" spans="1:6" x14ac:dyDescent="0.25">
      <c r="A60">
        <v>59</v>
      </c>
      <c r="B60" s="10" t="s">
        <v>991</v>
      </c>
      <c r="C60" s="18">
        <v>7.54</v>
      </c>
      <c r="D60" s="13">
        <v>1</v>
      </c>
      <c r="E60" s="18">
        <v>6</v>
      </c>
      <c r="F60" s="13">
        <v>7.5</v>
      </c>
    </row>
    <row r="61" spans="1:6" x14ac:dyDescent="0.25">
      <c r="A61">
        <v>60</v>
      </c>
      <c r="B61" t="s">
        <v>111</v>
      </c>
      <c r="C61" s="18">
        <v>7.5</v>
      </c>
      <c r="D61" s="13">
        <v>1</v>
      </c>
      <c r="E61" s="18">
        <v>6</v>
      </c>
      <c r="F61" s="13">
        <v>7.5</v>
      </c>
    </row>
    <row r="62" spans="1:6" x14ac:dyDescent="0.25">
      <c r="A62">
        <v>61</v>
      </c>
      <c r="B62" t="s">
        <v>95</v>
      </c>
      <c r="C62" s="18">
        <v>7.41</v>
      </c>
      <c r="D62" s="13">
        <v>1</v>
      </c>
      <c r="E62" s="18">
        <v>5.9</v>
      </c>
      <c r="F62" s="13">
        <v>7.4</v>
      </c>
    </row>
    <row r="63" spans="1:6" x14ac:dyDescent="0.25">
      <c r="A63">
        <v>62</v>
      </c>
      <c r="B63" t="s">
        <v>141</v>
      </c>
      <c r="C63" s="18">
        <v>7.34</v>
      </c>
      <c r="D63" s="13">
        <v>1</v>
      </c>
      <c r="E63" s="18">
        <v>5.8</v>
      </c>
      <c r="F63" s="13">
        <v>7.3</v>
      </c>
    </row>
    <row r="64" spans="1:6" x14ac:dyDescent="0.25">
      <c r="A64">
        <v>63</v>
      </c>
      <c r="B64" t="s">
        <v>76</v>
      </c>
      <c r="C64" s="18">
        <v>7.32</v>
      </c>
      <c r="D64" s="13">
        <v>1</v>
      </c>
      <c r="E64" s="18">
        <v>5.8</v>
      </c>
      <c r="F64" s="13">
        <v>7.3</v>
      </c>
    </row>
    <row r="65" spans="1:6" x14ac:dyDescent="0.25">
      <c r="A65">
        <v>64</v>
      </c>
      <c r="B65" t="s">
        <v>748</v>
      </c>
      <c r="C65" s="18">
        <v>13.14</v>
      </c>
      <c r="D65" s="13">
        <v>2</v>
      </c>
      <c r="E65" s="18">
        <v>5.8</v>
      </c>
      <c r="F65" s="13">
        <v>6.6</v>
      </c>
    </row>
    <row r="66" spans="1:6" x14ac:dyDescent="0.25">
      <c r="A66">
        <v>65</v>
      </c>
      <c r="B66" s="5" t="s">
        <v>894</v>
      </c>
      <c r="C66" s="18">
        <v>7.2489999999999997</v>
      </c>
      <c r="D66" s="13">
        <v>1</v>
      </c>
      <c r="E66" s="18">
        <v>5.7</v>
      </c>
      <c r="F66" s="13">
        <v>7.2</v>
      </c>
    </row>
    <row r="67" spans="1:6" x14ac:dyDescent="0.25">
      <c r="A67">
        <v>66</v>
      </c>
      <c r="B67" t="s">
        <v>189</v>
      </c>
      <c r="C67" s="18">
        <v>7.24</v>
      </c>
      <c r="D67" s="13">
        <v>1</v>
      </c>
      <c r="E67" s="18">
        <v>5.7</v>
      </c>
      <c r="F67" s="13">
        <v>7.2</v>
      </c>
    </row>
    <row r="68" spans="1:6" x14ac:dyDescent="0.25">
      <c r="A68">
        <v>67</v>
      </c>
      <c r="B68" s="10" t="s">
        <v>865</v>
      </c>
      <c r="C68" s="18">
        <v>7.23</v>
      </c>
      <c r="D68" s="13">
        <v>1</v>
      </c>
      <c r="E68" s="18">
        <v>5.7</v>
      </c>
      <c r="F68" s="13">
        <v>7.2</v>
      </c>
    </row>
    <row r="69" spans="1:6" x14ac:dyDescent="0.25">
      <c r="A69">
        <v>68</v>
      </c>
      <c r="B69" t="s">
        <v>779</v>
      </c>
      <c r="C69" s="18">
        <v>7.21</v>
      </c>
      <c r="D69" s="13">
        <v>1</v>
      </c>
      <c r="E69" s="18">
        <v>5.7</v>
      </c>
      <c r="F69" s="13">
        <v>7.2</v>
      </c>
    </row>
    <row r="70" spans="1:6" x14ac:dyDescent="0.25">
      <c r="A70">
        <v>69</v>
      </c>
      <c r="B70" t="s">
        <v>50</v>
      </c>
      <c r="C70" s="18">
        <v>19.750000000000004</v>
      </c>
      <c r="D70" s="13">
        <v>4</v>
      </c>
      <c r="E70" s="18">
        <v>5.6</v>
      </c>
      <c r="F70" s="13">
        <v>4.9000000000000004</v>
      </c>
    </row>
    <row r="71" spans="1:6" x14ac:dyDescent="0.25">
      <c r="A71">
        <v>70</v>
      </c>
      <c r="B71" t="s">
        <v>464</v>
      </c>
      <c r="C71" s="18">
        <v>7.14</v>
      </c>
      <c r="D71" s="13">
        <v>1</v>
      </c>
      <c r="E71" s="18">
        <v>5.6</v>
      </c>
      <c r="F71" s="13">
        <v>7.1</v>
      </c>
    </row>
    <row r="72" spans="1:6" x14ac:dyDescent="0.25">
      <c r="A72">
        <v>71</v>
      </c>
      <c r="B72" t="s">
        <v>746</v>
      </c>
      <c r="C72" s="18">
        <v>7.13</v>
      </c>
      <c r="D72" s="13">
        <v>1</v>
      </c>
      <c r="E72" s="18">
        <v>5.6</v>
      </c>
      <c r="F72" s="13">
        <v>7.1</v>
      </c>
    </row>
    <row r="73" spans="1:6" x14ac:dyDescent="0.25">
      <c r="A73">
        <v>72</v>
      </c>
      <c r="B73" t="s">
        <v>884</v>
      </c>
      <c r="C73" s="18">
        <v>7.12</v>
      </c>
      <c r="D73" s="13">
        <v>1</v>
      </c>
      <c r="E73" s="18">
        <v>5.6</v>
      </c>
      <c r="F73" s="13">
        <v>7.1</v>
      </c>
    </row>
    <row r="74" spans="1:6" x14ac:dyDescent="0.25">
      <c r="A74">
        <v>73</v>
      </c>
      <c r="B74" t="s">
        <v>750</v>
      </c>
      <c r="C74" s="18">
        <v>7.11</v>
      </c>
      <c r="D74" s="13">
        <v>1</v>
      </c>
      <c r="E74" s="18">
        <v>5.6</v>
      </c>
      <c r="F74" s="13">
        <v>7.1</v>
      </c>
    </row>
    <row r="75" spans="1:6" x14ac:dyDescent="0.25">
      <c r="A75">
        <v>74</v>
      </c>
      <c r="B75" t="s">
        <v>202</v>
      </c>
      <c r="C75" s="18">
        <v>7.02</v>
      </c>
      <c r="D75" s="13">
        <v>1</v>
      </c>
      <c r="E75" s="18">
        <v>5.5</v>
      </c>
      <c r="F75" s="13">
        <v>7</v>
      </c>
    </row>
    <row r="76" spans="1:6" x14ac:dyDescent="0.25">
      <c r="A76">
        <v>75</v>
      </c>
      <c r="B76" t="s">
        <v>182</v>
      </c>
      <c r="C76" s="18">
        <v>7.01</v>
      </c>
      <c r="D76" s="13">
        <v>1</v>
      </c>
      <c r="E76" s="18">
        <v>5.5</v>
      </c>
      <c r="F76" s="13">
        <v>7</v>
      </c>
    </row>
    <row r="77" spans="1:6" x14ac:dyDescent="0.25">
      <c r="A77">
        <v>76</v>
      </c>
      <c r="B77" t="s">
        <v>93</v>
      </c>
      <c r="C77" s="18">
        <v>6.92</v>
      </c>
      <c r="D77" s="13">
        <v>1</v>
      </c>
      <c r="E77" s="18">
        <v>5.4</v>
      </c>
      <c r="F77" s="13">
        <v>6.9</v>
      </c>
    </row>
    <row r="78" spans="1:6" x14ac:dyDescent="0.25">
      <c r="A78">
        <v>77</v>
      </c>
      <c r="B78" t="s">
        <v>524</v>
      </c>
      <c r="C78" s="18">
        <v>6.83</v>
      </c>
      <c r="D78" s="13">
        <v>1</v>
      </c>
      <c r="E78" s="18">
        <v>5.3</v>
      </c>
      <c r="F78" s="13">
        <v>6.8</v>
      </c>
    </row>
    <row r="79" spans="1:6" x14ac:dyDescent="0.25">
      <c r="A79">
        <v>78</v>
      </c>
      <c r="B79" t="s">
        <v>174</v>
      </c>
      <c r="C79" s="18">
        <v>6.71</v>
      </c>
      <c r="D79" s="13">
        <v>1</v>
      </c>
      <c r="E79" s="18">
        <v>5.2</v>
      </c>
      <c r="F79" s="13">
        <v>6.7</v>
      </c>
    </row>
    <row r="80" spans="1:6" x14ac:dyDescent="0.25">
      <c r="A80">
        <v>79</v>
      </c>
      <c r="B80" t="s">
        <v>89</v>
      </c>
      <c r="C80" s="18">
        <v>6.63</v>
      </c>
      <c r="D80" s="13">
        <v>1</v>
      </c>
      <c r="E80" s="18">
        <v>5.0999999999999996</v>
      </c>
      <c r="F80" s="13">
        <v>6.6</v>
      </c>
    </row>
    <row r="81" spans="1:6" x14ac:dyDescent="0.25">
      <c r="A81">
        <v>80</v>
      </c>
      <c r="B81" t="s">
        <v>938</v>
      </c>
      <c r="C81" s="18">
        <v>6.62</v>
      </c>
      <c r="D81" s="13">
        <v>1</v>
      </c>
      <c r="E81" s="18">
        <v>5.0999999999999996</v>
      </c>
      <c r="F81" s="13">
        <v>6.6</v>
      </c>
    </row>
    <row r="82" spans="1:6" x14ac:dyDescent="0.25">
      <c r="A82">
        <v>81</v>
      </c>
      <c r="B82" t="s">
        <v>501</v>
      </c>
      <c r="C82" s="18">
        <v>6.53</v>
      </c>
      <c r="D82" s="13">
        <v>1</v>
      </c>
      <c r="E82" s="18">
        <v>5</v>
      </c>
      <c r="F82" s="13">
        <v>6.5</v>
      </c>
    </row>
    <row r="83" spans="1:6" x14ac:dyDescent="0.25">
      <c r="A83">
        <v>82</v>
      </c>
      <c r="B83" t="s">
        <v>767</v>
      </c>
      <c r="C83" s="18">
        <v>6.52</v>
      </c>
      <c r="D83" s="13">
        <v>1</v>
      </c>
      <c r="E83" s="18">
        <v>5</v>
      </c>
      <c r="F83" s="13">
        <v>6.5</v>
      </c>
    </row>
    <row r="84" spans="1:6" x14ac:dyDescent="0.25">
      <c r="A84">
        <v>83</v>
      </c>
      <c r="B84" t="s">
        <v>177</v>
      </c>
      <c r="C84" s="18">
        <v>6.51</v>
      </c>
      <c r="D84" s="13">
        <v>1</v>
      </c>
      <c r="E84" s="18">
        <v>5</v>
      </c>
      <c r="F84" s="13">
        <v>6.5</v>
      </c>
    </row>
    <row r="85" spans="1:6" x14ac:dyDescent="0.25">
      <c r="A85">
        <v>84</v>
      </c>
      <c r="B85" t="s">
        <v>867</v>
      </c>
      <c r="C85" s="18">
        <v>6.33</v>
      </c>
      <c r="D85" s="13">
        <v>1</v>
      </c>
      <c r="E85" s="18">
        <v>4.8</v>
      </c>
      <c r="F85" s="13">
        <v>6.3</v>
      </c>
    </row>
    <row r="86" spans="1:6" x14ac:dyDescent="0.25">
      <c r="A86">
        <v>85</v>
      </c>
      <c r="B86" t="s">
        <v>665</v>
      </c>
      <c r="C86" s="18">
        <v>6.32</v>
      </c>
      <c r="D86" s="13">
        <v>1</v>
      </c>
      <c r="E86" s="18">
        <v>4.8</v>
      </c>
      <c r="F86" s="13">
        <v>6.3</v>
      </c>
    </row>
    <row r="87" spans="1:6" x14ac:dyDescent="0.25">
      <c r="A87">
        <v>86</v>
      </c>
      <c r="B87" t="s">
        <v>394</v>
      </c>
      <c r="C87" s="18">
        <v>11.15</v>
      </c>
      <c r="D87" s="13">
        <v>2</v>
      </c>
      <c r="E87" s="18">
        <v>4.8</v>
      </c>
      <c r="F87" s="13">
        <v>5.6</v>
      </c>
    </row>
    <row r="88" spans="1:6" x14ac:dyDescent="0.25">
      <c r="A88">
        <v>87</v>
      </c>
      <c r="B88" t="s">
        <v>104</v>
      </c>
      <c r="C88" s="18">
        <v>10.83</v>
      </c>
      <c r="D88" s="13">
        <v>2</v>
      </c>
      <c r="E88" s="18">
        <v>4.7</v>
      </c>
      <c r="F88" s="13">
        <v>5.4</v>
      </c>
    </row>
    <row r="89" spans="1:6" x14ac:dyDescent="0.25">
      <c r="A89">
        <v>88</v>
      </c>
      <c r="B89" t="s">
        <v>341</v>
      </c>
      <c r="C89" s="18">
        <v>6.23</v>
      </c>
      <c r="D89" s="13">
        <v>1</v>
      </c>
      <c r="E89" s="18">
        <v>4.7</v>
      </c>
      <c r="F89" s="13">
        <v>6.2</v>
      </c>
    </row>
    <row r="90" spans="1:6" x14ac:dyDescent="0.25">
      <c r="A90">
        <v>89</v>
      </c>
      <c r="B90" t="s">
        <v>457</v>
      </c>
      <c r="C90" s="18">
        <v>6.21</v>
      </c>
      <c r="D90" s="13">
        <v>1</v>
      </c>
      <c r="E90" s="18">
        <v>4.7</v>
      </c>
      <c r="F90" s="13">
        <v>6.2</v>
      </c>
    </row>
    <row r="91" spans="1:6" x14ac:dyDescent="0.25">
      <c r="A91">
        <v>90</v>
      </c>
      <c r="B91" t="s">
        <v>549</v>
      </c>
      <c r="C91" s="18">
        <v>10.620000000000001</v>
      </c>
      <c r="D91" s="13">
        <v>2</v>
      </c>
      <c r="E91" s="18">
        <v>4.5999999999999996</v>
      </c>
      <c r="F91" s="13">
        <v>5.3</v>
      </c>
    </row>
    <row r="92" spans="1:6" x14ac:dyDescent="0.25">
      <c r="A92">
        <v>91</v>
      </c>
      <c r="B92" t="s">
        <v>447</v>
      </c>
      <c r="C92" s="18">
        <v>6.12</v>
      </c>
      <c r="D92" s="13">
        <v>1</v>
      </c>
      <c r="E92" s="18">
        <v>4.5999999999999996</v>
      </c>
      <c r="F92" s="13">
        <v>6.1</v>
      </c>
    </row>
    <row r="93" spans="1:6" x14ac:dyDescent="0.25">
      <c r="A93">
        <v>92</v>
      </c>
      <c r="B93" t="s">
        <v>115</v>
      </c>
      <c r="C93" s="18">
        <v>6.03</v>
      </c>
      <c r="D93" s="13">
        <v>1</v>
      </c>
      <c r="E93" s="18">
        <v>4.5</v>
      </c>
      <c r="F93" s="13">
        <v>6</v>
      </c>
    </row>
    <row r="94" spans="1:6" x14ac:dyDescent="0.25">
      <c r="A94">
        <v>93</v>
      </c>
      <c r="B94" t="s">
        <v>77</v>
      </c>
      <c r="C94" s="18">
        <v>6.01</v>
      </c>
      <c r="D94" s="13">
        <v>1</v>
      </c>
      <c r="E94" s="18">
        <v>4.5</v>
      </c>
      <c r="F94" s="13">
        <v>6</v>
      </c>
    </row>
    <row r="95" spans="1:6" x14ac:dyDescent="0.25">
      <c r="A95">
        <v>94</v>
      </c>
      <c r="B95" t="s">
        <v>196</v>
      </c>
      <c r="C95" s="18">
        <v>5.93</v>
      </c>
      <c r="D95" s="13">
        <v>1</v>
      </c>
      <c r="E95" s="18">
        <v>4.4000000000000004</v>
      </c>
      <c r="F95" s="13">
        <v>5.9</v>
      </c>
    </row>
    <row r="96" spans="1:6" x14ac:dyDescent="0.25">
      <c r="A96">
        <v>95</v>
      </c>
      <c r="B96" t="s">
        <v>411</v>
      </c>
      <c r="C96" s="18">
        <v>5.71</v>
      </c>
      <c r="D96" s="13">
        <v>1</v>
      </c>
      <c r="E96" s="18">
        <v>4.2</v>
      </c>
      <c r="F96" s="13">
        <v>5.7</v>
      </c>
    </row>
    <row r="97" spans="1:6" x14ac:dyDescent="0.25">
      <c r="A97">
        <v>96</v>
      </c>
      <c r="B97" t="s">
        <v>758</v>
      </c>
      <c r="C97" s="18">
        <v>9.92</v>
      </c>
      <c r="D97" s="13">
        <v>2</v>
      </c>
      <c r="E97" s="18">
        <v>4.2</v>
      </c>
      <c r="F97" s="13">
        <v>5</v>
      </c>
    </row>
    <row r="98" spans="1:6" x14ac:dyDescent="0.25">
      <c r="A98">
        <v>97</v>
      </c>
      <c r="B98" t="s">
        <v>937</v>
      </c>
      <c r="C98" s="18">
        <v>5.63</v>
      </c>
      <c r="D98" s="13">
        <v>1</v>
      </c>
      <c r="E98" s="18">
        <v>4.0999999999999996</v>
      </c>
      <c r="F98" s="13">
        <v>5.6</v>
      </c>
    </row>
    <row r="99" spans="1:6" x14ac:dyDescent="0.25">
      <c r="A99">
        <v>98</v>
      </c>
      <c r="B99" t="s">
        <v>118</v>
      </c>
      <c r="C99" s="18">
        <v>5.52</v>
      </c>
      <c r="D99" s="13">
        <v>1</v>
      </c>
      <c r="E99" s="18">
        <v>4</v>
      </c>
      <c r="F99" s="13">
        <v>5.5</v>
      </c>
    </row>
    <row r="100" spans="1:6" x14ac:dyDescent="0.25">
      <c r="A100">
        <v>99</v>
      </c>
      <c r="B100" t="s">
        <v>198</v>
      </c>
      <c r="C100" s="18">
        <v>5.51</v>
      </c>
      <c r="D100" s="13">
        <v>1</v>
      </c>
      <c r="E100" s="18">
        <v>4</v>
      </c>
      <c r="F100" s="13">
        <v>5.5</v>
      </c>
    </row>
    <row r="101" spans="1:6" x14ac:dyDescent="0.25">
      <c r="A101">
        <v>100</v>
      </c>
      <c r="B101" t="s">
        <v>946</v>
      </c>
      <c r="C101" s="18">
        <v>5.43</v>
      </c>
      <c r="D101" s="13">
        <v>1</v>
      </c>
      <c r="E101" s="18">
        <v>3.9</v>
      </c>
      <c r="F101" s="13">
        <v>5.4</v>
      </c>
    </row>
    <row r="102" spans="1:6" x14ac:dyDescent="0.25">
      <c r="A102">
        <v>101</v>
      </c>
      <c r="B102" t="s">
        <v>753</v>
      </c>
      <c r="C102" s="18">
        <v>5.42</v>
      </c>
      <c r="D102" s="13">
        <v>1</v>
      </c>
      <c r="E102" s="18">
        <v>3.9</v>
      </c>
      <c r="F102" s="13">
        <v>5.4</v>
      </c>
    </row>
    <row r="103" spans="1:6" x14ac:dyDescent="0.25">
      <c r="A103">
        <v>102</v>
      </c>
      <c r="B103" t="s">
        <v>538</v>
      </c>
      <c r="C103" s="18">
        <v>5.41</v>
      </c>
      <c r="D103" s="13">
        <v>1</v>
      </c>
      <c r="E103" s="18">
        <v>3.9</v>
      </c>
      <c r="F103" s="13">
        <v>5.4</v>
      </c>
    </row>
    <row r="104" spans="1:6" x14ac:dyDescent="0.25">
      <c r="A104">
        <v>103</v>
      </c>
      <c r="B104" t="s">
        <v>224</v>
      </c>
      <c r="C104" s="18">
        <v>5.33</v>
      </c>
      <c r="D104" s="13">
        <v>1</v>
      </c>
      <c r="E104" s="18">
        <v>3.8</v>
      </c>
      <c r="F104" s="13">
        <v>5.3</v>
      </c>
    </row>
    <row r="105" spans="1:6" x14ac:dyDescent="0.25">
      <c r="A105">
        <v>104</v>
      </c>
      <c r="B105" t="s">
        <v>563</v>
      </c>
      <c r="C105" s="18">
        <v>5.31</v>
      </c>
      <c r="D105" s="13">
        <v>1</v>
      </c>
      <c r="E105" s="18">
        <v>3.8</v>
      </c>
      <c r="F105" s="13">
        <v>5.3</v>
      </c>
    </row>
    <row r="106" spans="1:6" x14ac:dyDescent="0.25">
      <c r="A106">
        <v>105</v>
      </c>
      <c r="B106" t="s">
        <v>101</v>
      </c>
      <c r="C106" s="18">
        <v>5.22</v>
      </c>
      <c r="D106" s="13">
        <v>1</v>
      </c>
      <c r="E106" s="18">
        <v>3.7</v>
      </c>
      <c r="F106" s="13">
        <v>5.2</v>
      </c>
    </row>
    <row r="107" spans="1:6" x14ac:dyDescent="0.25">
      <c r="A107">
        <v>106</v>
      </c>
      <c r="B107" t="s">
        <v>204</v>
      </c>
      <c r="C107" s="18">
        <v>5.21</v>
      </c>
      <c r="D107" s="13">
        <v>1</v>
      </c>
      <c r="E107" s="18">
        <v>3.7</v>
      </c>
      <c r="F107" s="13">
        <v>5.2</v>
      </c>
    </row>
    <row r="108" spans="1:6" x14ac:dyDescent="0.25">
      <c r="A108">
        <v>107</v>
      </c>
      <c r="B108" t="s">
        <v>207</v>
      </c>
      <c r="C108" s="18">
        <v>5.13</v>
      </c>
      <c r="D108" s="13">
        <v>1</v>
      </c>
      <c r="E108" s="18">
        <v>3.6</v>
      </c>
      <c r="F108" s="13">
        <v>5.0999999999999996</v>
      </c>
    </row>
    <row r="109" spans="1:6" x14ac:dyDescent="0.25">
      <c r="A109">
        <v>108</v>
      </c>
      <c r="B109" t="s">
        <v>860</v>
      </c>
      <c r="C109" s="18">
        <v>5.12</v>
      </c>
      <c r="D109" s="13">
        <v>1</v>
      </c>
      <c r="E109" s="18">
        <v>3.6</v>
      </c>
      <c r="F109" s="13">
        <v>5.0999999999999996</v>
      </c>
    </row>
    <row r="110" spans="1:6" x14ac:dyDescent="0.25">
      <c r="A110">
        <v>109</v>
      </c>
      <c r="B110" t="s">
        <v>134</v>
      </c>
      <c r="C110" s="18">
        <v>5.03</v>
      </c>
      <c r="D110" s="13">
        <v>1</v>
      </c>
      <c r="E110" s="18">
        <v>3.5</v>
      </c>
      <c r="F110" s="13">
        <v>5</v>
      </c>
    </row>
    <row r="111" spans="1:6" x14ac:dyDescent="0.25">
      <c r="A111">
        <v>110</v>
      </c>
      <c r="B111" t="s">
        <v>641</v>
      </c>
      <c r="C111" s="18">
        <v>5.01</v>
      </c>
      <c r="D111" s="13">
        <v>1</v>
      </c>
      <c r="E111" s="18">
        <v>3.5</v>
      </c>
      <c r="F111" s="13">
        <v>5</v>
      </c>
    </row>
    <row r="112" spans="1:6" x14ac:dyDescent="0.25">
      <c r="A112">
        <v>111</v>
      </c>
      <c r="B112" t="s">
        <v>870</v>
      </c>
      <c r="C112" s="18">
        <v>4.8</v>
      </c>
      <c r="D112" s="13">
        <v>1</v>
      </c>
      <c r="E112" s="18">
        <v>3.3</v>
      </c>
      <c r="F112" s="13">
        <v>4.8</v>
      </c>
    </row>
    <row r="113" spans="1:6" x14ac:dyDescent="0.25">
      <c r="A113">
        <v>112</v>
      </c>
      <c r="B113" t="s">
        <v>137</v>
      </c>
      <c r="C113" s="18">
        <v>4.3</v>
      </c>
      <c r="D113" s="13">
        <v>1</v>
      </c>
      <c r="E113" s="18">
        <v>2.8</v>
      </c>
      <c r="F113" s="13">
        <v>4.3</v>
      </c>
    </row>
    <row r="114" spans="1:6" x14ac:dyDescent="0.25">
      <c r="A114">
        <v>113</v>
      </c>
      <c r="B114" t="s">
        <v>128</v>
      </c>
      <c r="C114" s="18">
        <v>4.0999999999999996</v>
      </c>
      <c r="D114" s="13">
        <v>1</v>
      </c>
      <c r="E114" s="18">
        <v>2.6</v>
      </c>
      <c r="F114" s="13">
        <v>4.0999999999999996</v>
      </c>
    </row>
    <row r="115" spans="1:6" x14ac:dyDescent="0.25">
      <c r="A115">
        <v>114</v>
      </c>
      <c r="B115" t="s">
        <v>467</v>
      </c>
      <c r="C115" s="18">
        <v>3.8</v>
      </c>
      <c r="D115" s="13">
        <v>1</v>
      </c>
      <c r="E115" s="18">
        <v>2.2999999999999998</v>
      </c>
      <c r="F115" s="13">
        <v>3.8</v>
      </c>
    </row>
    <row r="116" spans="1:6" x14ac:dyDescent="0.25">
      <c r="A116">
        <v>115</v>
      </c>
      <c r="B116" t="s">
        <v>126</v>
      </c>
      <c r="C116" s="18">
        <v>3.7</v>
      </c>
      <c r="D116" s="13">
        <v>1</v>
      </c>
      <c r="E116" s="18">
        <v>2.2000000000000002</v>
      </c>
      <c r="F116" s="13">
        <v>3.7</v>
      </c>
    </row>
    <row r="117" spans="1:6" x14ac:dyDescent="0.25">
      <c r="A117">
        <v>116</v>
      </c>
      <c r="B117" t="s">
        <v>456</v>
      </c>
      <c r="C117" s="18">
        <v>2.7</v>
      </c>
      <c r="D117" s="13">
        <v>1</v>
      </c>
      <c r="E117" s="18">
        <v>1.2</v>
      </c>
      <c r="F117" s="13">
        <v>2.7</v>
      </c>
    </row>
    <row r="118" spans="1:6" x14ac:dyDescent="0.25">
      <c r="A118">
        <v>117</v>
      </c>
      <c r="B118" t="s">
        <v>209</v>
      </c>
      <c r="C118" s="18">
        <v>2.2999999999999998</v>
      </c>
      <c r="D118" s="13">
        <v>1</v>
      </c>
      <c r="E118" s="18">
        <v>0.8</v>
      </c>
      <c r="F118" s="13">
        <v>2.2999999999999998</v>
      </c>
    </row>
    <row r="119" spans="1:6" x14ac:dyDescent="0.25">
      <c r="A119">
        <v>118</v>
      </c>
      <c r="B119" t="s">
        <v>652</v>
      </c>
      <c r="C119" s="18">
        <v>1.5</v>
      </c>
      <c r="D119" s="13">
        <v>1</v>
      </c>
      <c r="E119" s="18">
        <v>0</v>
      </c>
      <c r="F119" s="13">
        <v>1.5</v>
      </c>
    </row>
    <row r="120" spans="1:6" x14ac:dyDescent="0.25">
      <c r="A120">
        <v>119</v>
      </c>
      <c r="B120" t="s">
        <v>145</v>
      </c>
      <c r="C120" s="18">
        <v>1.3</v>
      </c>
      <c r="D120" s="13">
        <v>1</v>
      </c>
      <c r="E120" s="18">
        <v>-0.2</v>
      </c>
      <c r="F120" s="13">
        <v>1.3</v>
      </c>
    </row>
    <row r="121" spans="1:6" x14ac:dyDescent="0.25">
      <c r="A121">
        <v>120</v>
      </c>
      <c r="B121" t="s">
        <v>142</v>
      </c>
      <c r="C121" s="18">
        <v>1.1000000000000001</v>
      </c>
      <c r="D121" s="13">
        <v>1</v>
      </c>
      <c r="E121" s="14">
        <v>-0.4</v>
      </c>
      <c r="F121" s="13">
        <v>1.1000000000000001</v>
      </c>
    </row>
    <row r="122" spans="1:6" x14ac:dyDescent="0.25">
      <c r="A122">
        <v>121</v>
      </c>
      <c r="B122" t="s">
        <v>148</v>
      </c>
      <c r="C122" s="18">
        <v>0.9</v>
      </c>
      <c r="D122" s="13">
        <v>1</v>
      </c>
      <c r="E122" s="14">
        <v>-0.6</v>
      </c>
      <c r="F122" s="13">
        <v>0.9</v>
      </c>
    </row>
  </sheetData>
  <autoFilter ref="A1:F120" xr:uid="{DC633FCA-CFD1-4A89-BF2E-AECAA389B980}"/>
  <sortState xmlns:xlrd2="http://schemas.microsoft.com/office/spreadsheetml/2017/richdata2" ref="A2:F122">
    <sortCondition descending="1" ref="E2:E12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36" sqref="C3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2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2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2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2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2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2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2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2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2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2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2026-01-27T21:10:54Z</dcterms:modified>
</cp:coreProperties>
</file>