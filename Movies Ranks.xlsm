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826016" documentId="14_{97AD7830-A804-4358-95B8-ABFB830B8E7F}" xr6:coauthVersionLast="47" xr6:coauthVersionMax="47" xr10:uidLastSave="{7D531F89-B656-41D0-8D4D-026AA7925F19}"/>
  <bookViews>
    <workbookView xWindow="-120" yWindow="-120" windowWidth="29040" windowHeight="16440" tabRatio="836" activeTab="3"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Rankings'!$B$1:$AB$298</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14" i="1" l="1"/>
  <c r="Q114" i="1"/>
  <c r="R114" i="1"/>
  <c r="S114" i="1"/>
  <c r="T114" i="1" s="1"/>
  <c r="P9" i="1"/>
  <c r="Q9" i="1"/>
  <c r="R9" i="1"/>
  <c r="S9" i="1"/>
  <c r="T9" i="1" s="1"/>
  <c r="P94" i="1"/>
  <c r="Q94" i="1"/>
  <c r="R94" i="1"/>
  <c r="S94" i="1"/>
  <c r="T94" i="1" s="1"/>
  <c r="P169" i="1"/>
  <c r="Q169" i="1"/>
  <c r="R169" i="1"/>
  <c r="S169" i="1"/>
  <c r="T169" i="1" s="1"/>
  <c r="P127" i="1"/>
  <c r="Q127" i="1"/>
  <c r="R127" i="1"/>
  <c r="S127" i="1"/>
  <c r="T127" i="1" s="1"/>
  <c r="Q128" i="1"/>
  <c r="R128" i="1"/>
  <c r="S128" i="1"/>
  <c r="T128" i="1" s="1"/>
  <c r="P128" i="1"/>
  <c r="P25" i="1"/>
  <c r="Q25" i="1"/>
  <c r="R25" i="1"/>
  <c r="S25" i="1"/>
  <c r="T25" i="1" s="1"/>
  <c r="P73" i="1"/>
  <c r="Q73" i="1"/>
  <c r="R73" i="1"/>
  <c r="S73" i="1"/>
  <c r="T73" i="1" s="1"/>
  <c r="P43" i="1"/>
  <c r="Q43" i="1"/>
  <c r="R43" i="1"/>
  <c r="S43" i="1"/>
  <c r="T43" i="1" s="1"/>
  <c r="P148" i="1"/>
  <c r="Q148" i="1"/>
  <c r="R148" i="1"/>
  <c r="S148" i="1"/>
  <c r="T148" i="1" s="1"/>
  <c r="P192" i="1"/>
  <c r="Q192" i="1"/>
  <c r="R192" i="1"/>
  <c r="S192" i="1"/>
  <c r="T192" i="1" s="1"/>
  <c r="S2" i="1"/>
  <c r="S3" i="1"/>
  <c r="S4" i="1"/>
  <c r="T4" i="1" s="1"/>
  <c r="S5" i="1"/>
  <c r="S6" i="1"/>
  <c r="S7" i="1"/>
  <c r="S8" i="1"/>
  <c r="S13" i="1"/>
  <c r="S10" i="1"/>
  <c r="S11" i="1"/>
  <c r="S12" i="1"/>
  <c r="S14" i="1"/>
  <c r="S16" i="1"/>
  <c r="S17" i="1"/>
  <c r="S22" i="1"/>
  <c r="S26" i="1"/>
  <c r="S21" i="1"/>
  <c r="S20" i="1"/>
  <c r="S15" i="1"/>
  <c r="S27" i="1"/>
  <c r="S18" i="1"/>
  <c r="S24" i="1"/>
  <c r="S28" i="1"/>
  <c r="S29" i="1"/>
  <c r="S30" i="1"/>
  <c r="S32" i="1"/>
  <c r="S33" i="1"/>
  <c r="S34" i="1"/>
  <c r="S23" i="1"/>
  <c r="S31" i="1"/>
  <c r="S35" i="1"/>
  <c r="S36" i="1"/>
  <c r="S37" i="1"/>
  <c r="S38" i="1"/>
  <c r="S39" i="1"/>
  <c r="S40" i="1"/>
  <c r="S41" i="1"/>
  <c r="S42" i="1"/>
  <c r="S44" i="1"/>
  <c r="S45" i="1"/>
  <c r="S46" i="1"/>
  <c r="S19" i="1"/>
  <c r="T19" i="1" s="1"/>
  <c r="S47" i="1"/>
  <c r="T47" i="1" s="1"/>
  <c r="S48" i="1"/>
  <c r="S49" i="1"/>
  <c r="S50" i="1"/>
  <c r="S51" i="1"/>
  <c r="S52" i="1"/>
  <c r="S53" i="1"/>
  <c r="S54" i="1"/>
  <c r="S55" i="1"/>
  <c r="S56" i="1"/>
  <c r="S57" i="1"/>
  <c r="S58" i="1"/>
  <c r="T58" i="1" s="1"/>
  <c r="S59" i="1"/>
  <c r="S60" i="1"/>
  <c r="S61" i="1"/>
  <c r="S62" i="1"/>
  <c r="S63" i="1"/>
  <c r="S64" i="1"/>
  <c r="S65" i="1"/>
  <c r="T65" i="1" s="1"/>
  <c r="S66" i="1"/>
  <c r="S67" i="1"/>
  <c r="S68" i="1"/>
  <c r="S83" i="1"/>
  <c r="S70" i="1"/>
  <c r="S71" i="1"/>
  <c r="S72" i="1"/>
  <c r="S76" i="1"/>
  <c r="S74" i="1"/>
  <c r="S75" i="1"/>
  <c r="T75" i="1" s="1"/>
  <c r="S77" i="1"/>
  <c r="S78" i="1"/>
  <c r="S79" i="1"/>
  <c r="S80" i="1"/>
  <c r="S81" i="1"/>
  <c r="T81" i="1" s="1"/>
  <c r="S82" i="1"/>
  <c r="T82" i="1" s="1"/>
  <c r="S69" i="1"/>
  <c r="S86" i="1"/>
  <c r="S85" i="1"/>
  <c r="S84" i="1"/>
  <c r="S87" i="1"/>
  <c r="S88" i="1"/>
  <c r="S90" i="1"/>
  <c r="T90" i="1" s="1"/>
  <c r="S91" i="1"/>
  <c r="S92" i="1"/>
  <c r="S93" i="1"/>
  <c r="S89" i="1"/>
  <c r="S95" i="1"/>
  <c r="S96" i="1"/>
  <c r="S97" i="1"/>
  <c r="S98" i="1"/>
  <c r="S108" i="1"/>
  <c r="T108" i="1" s="1"/>
  <c r="S100" i="1"/>
  <c r="S101" i="1"/>
  <c r="S102" i="1"/>
  <c r="S104" i="1"/>
  <c r="S103" i="1"/>
  <c r="S105" i="1"/>
  <c r="S106" i="1"/>
  <c r="S107" i="1"/>
  <c r="S115" i="1"/>
  <c r="T115" i="1" s="1"/>
  <c r="S109" i="1"/>
  <c r="S111" i="1"/>
  <c r="S99" i="1"/>
  <c r="S113" i="1"/>
  <c r="S112" i="1"/>
  <c r="S116" i="1"/>
  <c r="S117" i="1"/>
  <c r="S118" i="1"/>
  <c r="S119" i="1"/>
  <c r="S120" i="1"/>
  <c r="S121" i="1"/>
  <c r="T121" i="1" s="1"/>
  <c r="S122" i="1"/>
  <c r="S123" i="1"/>
  <c r="S110" i="1"/>
  <c r="S124" i="1"/>
  <c r="S125" i="1"/>
  <c r="S126" i="1"/>
  <c r="S129" i="1"/>
  <c r="T129" i="1" s="1"/>
  <c r="S130" i="1"/>
  <c r="S131" i="1"/>
  <c r="S132" i="1"/>
  <c r="S133" i="1"/>
  <c r="S134" i="1"/>
  <c r="T134" i="1" s="1"/>
  <c r="S135" i="1"/>
  <c r="S136" i="1"/>
  <c r="T136" i="1" s="1"/>
  <c r="S137" i="1"/>
  <c r="S138" i="1"/>
  <c r="S139" i="1"/>
  <c r="S140" i="1"/>
  <c r="T140" i="1" s="1"/>
  <c r="S141" i="1"/>
  <c r="S143" i="1"/>
  <c r="T143" i="1" s="1"/>
  <c r="S144" i="1"/>
  <c r="S145" i="1"/>
  <c r="S146" i="1"/>
  <c r="S147" i="1"/>
  <c r="T147" i="1" s="1"/>
  <c r="S142" i="1"/>
  <c r="T142" i="1" s="1"/>
  <c r="S150" i="1"/>
  <c r="S151" i="1"/>
  <c r="T151" i="1" s="1"/>
  <c r="S152" i="1"/>
  <c r="T152" i="1" s="1"/>
  <c r="S153" i="1"/>
  <c r="T153" i="1" s="1"/>
  <c r="S154" i="1"/>
  <c r="T154" i="1" s="1"/>
  <c r="S149" i="1"/>
  <c r="S156" i="1"/>
  <c r="S157" i="1"/>
  <c r="S158" i="1"/>
  <c r="T158" i="1" s="1"/>
  <c r="S159" i="1"/>
  <c r="S160" i="1"/>
  <c r="T160" i="1" s="1"/>
  <c r="S161" i="1"/>
  <c r="S162" i="1"/>
  <c r="T162" i="1" s="1"/>
  <c r="S163" i="1"/>
  <c r="T163" i="1" s="1"/>
  <c r="S164" i="1"/>
  <c r="S165" i="1"/>
  <c r="S166" i="1"/>
  <c r="T166" i="1" s="1"/>
  <c r="S167" i="1"/>
  <c r="S168" i="1"/>
  <c r="S155" i="1"/>
  <c r="S170" i="1"/>
  <c r="T170" i="1" s="1"/>
  <c r="S171" i="1"/>
  <c r="T171" i="1" s="1"/>
  <c r="S172" i="1"/>
  <c r="S173" i="1"/>
  <c r="S174" i="1"/>
  <c r="S175" i="1"/>
  <c r="S176" i="1"/>
  <c r="T176" i="1" s="1"/>
  <c r="S177" i="1"/>
  <c r="S178" i="1"/>
  <c r="S179" i="1"/>
  <c r="S180" i="1"/>
  <c r="S181" i="1"/>
  <c r="S182" i="1"/>
  <c r="S185" i="1"/>
  <c r="S184" i="1"/>
  <c r="S183" i="1"/>
  <c r="S186" i="1"/>
  <c r="S187" i="1"/>
  <c r="S188" i="1"/>
  <c r="S189" i="1"/>
  <c r="S190" i="1"/>
  <c r="S191" i="1"/>
  <c r="S193" i="1"/>
  <c r="T193" i="1" s="1"/>
  <c r="S194" i="1"/>
  <c r="S195" i="1"/>
  <c r="S196" i="1"/>
  <c r="S197" i="1"/>
  <c r="S198" i="1"/>
  <c r="S199" i="1"/>
  <c r="S200" i="1"/>
  <c r="S201" i="1"/>
  <c r="S202" i="1"/>
  <c r="T202" i="1" s="1"/>
  <c r="S203" i="1"/>
  <c r="S204" i="1"/>
  <c r="S205" i="1"/>
  <c r="S206" i="1"/>
  <c r="T206" i="1" s="1"/>
  <c r="S207" i="1"/>
  <c r="S208" i="1"/>
  <c r="S209" i="1"/>
  <c r="S210" i="1"/>
  <c r="S211" i="1"/>
  <c r="S212" i="1"/>
  <c r="S213" i="1"/>
  <c r="S214" i="1"/>
  <c r="T214" i="1" s="1"/>
  <c r="S215" i="1"/>
  <c r="S216" i="1"/>
  <c r="S217" i="1"/>
  <c r="S218" i="1"/>
  <c r="S219" i="1"/>
  <c r="S220" i="1"/>
  <c r="S221" i="1"/>
  <c r="S222" i="1"/>
  <c r="S223" i="1"/>
  <c r="S224" i="1"/>
  <c r="T224" i="1" s="1"/>
  <c r="S225" i="1"/>
  <c r="S226" i="1"/>
  <c r="T226" i="1" s="1"/>
  <c r="S227" i="1"/>
  <c r="T227" i="1" s="1"/>
  <c r="S228" i="1"/>
  <c r="S229" i="1"/>
  <c r="S230" i="1"/>
  <c r="T230" i="1" s="1"/>
  <c r="S231" i="1"/>
  <c r="S232" i="1"/>
  <c r="T232" i="1" s="1"/>
  <c r="S233" i="1"/>
  <c r="S234" i="1"/>
  <c r="S235" i="1"/>
  <c r="S236" i="1"/>
  <c r="S237" i="1"/>
  <c r="S238" i="1"/>
  <c r="S239" i="1"/>
  <c r="S240" i="1"/>
  <c r="T240" i="1" s="1"/>
  <c r="S241" i="1"/>
  <c r="S242" i="1"/>
  <c r="S243" i="1"/>
  <c r="S244" i="1"/>
  <c r="S245" i="1"/>
  <c r="S246" i="1"/>
  <c r="S247" i="1"/>
  <c r="S248" i="1"/>
  <c r="S249" i="1"/>
  <c r="S250" i="1"/>
  <c r="S251" i="1"/>
  <c r="S252" i="1"/>
  <c r="S253" i="1"/>
  <c r="S254" i="1"/>
  <c r="S255" i="1"/>
  <c r="S256" i="1"/>
  <c r="S257" i="1"/>
  <c r="S258" i="1"/>
  <c r="S259" i="1"/>
  <c r="S260" i="1"/>
  <c r="S261" i="1"/>
  <c r="S262" i="1"/>
  <c r="S263" i="1"/>
  <c r="T263" i="1" s="1"/>
  <c r="S264" i="1"/>
  <c r="S265" i="1"/>
  <c r="S266" i="1"/>
  <c r="S267" i="1"/>
  <c r="S268" i="1"/>
  <c r="S269" i="1"/>
  <c r="S270" i="1"/>
  <c r="S271" i="1"/>
  <c r="S272" i="1"/>
  <c r="S273" i="1"/>
  <c r="T273" i="1" s="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P19" i="1"/>
  <c r="Q19" i="1"/>
  <c r="R19" i="1"/>
  <c r="P82" i="1"/>
  <c r="Q82" i="1"/>
  <c r="R82" i="1"/>
  <c r="P226" i="1"/>
  <c r="Q226" i="1"/>
  <c r="R226" i="1"/>
  <c r="Q163" i="1"/>
  <c r="R163" i="1"/>
  <c r="P163" i="1"/>
  <c r="Q140" i="1"/>
  <c r="R140" i="1"/>
  <c r="P140" i="1"/>
  <c r="P4" i="1"/>
  <c r="Q4" i="1"/>
  <c r="R4" i="1"/>
  <c r="Q129" i="1"/>
  <c r="R129" i="1"/>
  <c r="P129" i="1"/>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76" i="1"/>
  <c r="Q176" i="1"/>
  <c r="R176" i="1"/>
  <c r="P58" i="1"/>
  <c r="Q58" i="1"/>
  <c r="R58" i="1"/>
  <c r="P81" i="1"/>
  <c r="Q81" i="1"/>
  <c r="R81" i="1"/>
  <c r="P232" i="1"/>
  <c r="Q232" i="1"/>
  <c r="R232" i="1"/>
  <c r="P230" i="1"/>
  <c r="Q230" i="1"/>
  <c r="R230" i="1"/>
  <c r="P193" i="1"/>
  <c r="Q193" i="1"/>
  <c r="R193" i="1"/>
  <c r="Q121" i="1"/>
  <c r="R121" i="1"/>
  <c r="P121" i="1"/>
  <c r="P143" i="1"/>
  <c r="Q143" i="1"/>
  <c r="R143" i="1"/>
  <c r="P115" i="1"/>
  <c r="Q115" i="1"/>
  <c r="R115" i="1"/>
  <c r="P273" i="1"/>
  <c r="Q273" i="1"/>
  <c r="R273" i="1"/>
  <c r="P65" i="1"/>
  <c r="Q65" i="1"/>
  <c r="R65" i="1"/>
  <c r="Q240" i="1"/>
  <c r="R240" i="1"/>
  <c r="P240" i="1"/>
  <c r="L613" i="2"/>
  <c r="L614" i="2"/>
  <c r="P224" i="1"/>
  <c r="Q224" i="1"/>
  <c r="R224" i="1"/>
  <c r="P227" i="1"/>
  <c r="Q227" i="1"/>
  <c r="R227" i="1"/>
  <c r="L609" i="2"/>
  <c r="L610" i="2"/>
  <c r="L611" i="2"/>
  <c r="L612" i="2"/>
  <c r="P206" i="1"/>
  <c r="Q206" i="1"/>
  <c r="R206" i="1"/>
  <c r="P214" i="1"/>
  <c r="Q214" i="1"/>
  <c r="R214" i="1"/>
  <c r="L606" i="2"/>
  <c r="L607" i="2"/>
  <c r="L608" i="2"/>
  <c r="Q263" i="1"/>
  <c r="R263" i="1"/>
  <c r="P263" i="1"/>
  <c r="P202" i="1"/>
  <c r="Q202" i="1"/>
  <c r="R202" i="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33" i="1"/>
  <c r="Q233" i="1"/>
  <c r="R233" i="1"/>
  <c r="Q287" i="1"/>
  <c r="R287" i="1"/>
  <c r="P287" i="1"/>
  <c r="Q195" i="1"/>
  <c r="R195" i="1"/>
  <c r="P195" i="1"/>
  <c r="P216" i="1"/>
  <c r="Q216" i="1"/>
  <c r="R216" i="1"/>
  <c r="P42" i="1"/>
  <c r="Q42" i="1"/>
  <c r="R42" i="1"/>
  <c r="P75" i="1"/>
  <c r="Q75" i="1"/>
  <c r="R75" i="1"/>
  <c r="Q166" i="1"/>
  <c r="R166" i="1"/>
  <c r="P166" i="1"/>
  <c r="P90" i="1"/>
  <c r="Q90" i="1"/>
  <c r="R90" i="1"/>
  <c r="P47" i="1"/>
  <c r="Q47" i="1"/>
  <c r="R47" i="1"/>
  <c r="P194" i="1"/>
  <c r="Q194" i="1"/>
  <c r="R194" i="1"/>
  <c r="P136" i="1"/>
  <c r="Q136" i="1"/>
  <c r="R136" i="1"/>
  <c r="P108" i="1"/>
  <c r="Q108" i="1"/>
  <c r="R108" i="1"/>
  <c r="P239" i="1"/>
  <c r="Q239" i="1"/>
  <c r="R239" i="1"/>
  <c r="P134" i="1"/>
  <c r="Q134" i="1"/>
  <c r="R134" i="1"/>
  <c r="P244" i="1"/>
  <c r="Q244" i="1"/>
  <c r="R244" i="1"/>
  <c r="P236" i="1"/>
  <c r="Q236" i="1"/>
  <c r="R236" i="1"/>
  <c r="P88" i="1"/>
  <c r="Q88" i="1"/>
  <c r="R88" i="1"/>
  <c r="P98" i="1"/>
  <c r="Q98" i="1"/>
  <c r="R98" i="1"/>
  <c r="P172" i="1"/>
  <c r="Q172" i="1"/>
  <c r="R172" i="1"/>
  <c r="Q175" i="1"/>
  <c r="R175" i="1"/>
  <c r="P175" i="1"/>
  <c r="R167" i="1"/>
  <c r="Q167" i="1"/>
  <c r="P167" i="1"/>
  <c r="R149" i="1"/>
  <c r="Q149" i="1"/>
  <c r="P149" i="1"/>
  <c r="P215" i="1"/>
  <c r="Q215" i="1"/>
  <c r="R215" i="1"/>
  <c r="P40" i="1"/>
  <c r="Q40" i="1"/>
  <c r="R40" i="1"/>
  <c r="P14" i="1"/>
  <c r="Q14" i="1"/>
  <c r="R14" i="1"/>
  <c r="P173" i="1"/>
  <c r="Q173" i="1"/>
  <c r="R173" i="1"/>
  <c r="P68" i="1"/>
  <c r="Q68" i="1"/>
  <c r="R68"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R86" i="1"/>
  <c r="Q86" i="1"/>
  <c r="P86" i="1"/>
  <c r="P150" i="1"/>
  <c r="Q150" i="1"/>
  <c r="R150" i="1"/>
  <c r="P83" i="1"/>
  <c r="Q83" i="1"/>
  <c r="R83" i="1"/>
  <c r="P241" i="1"/>
  <c r="Q241" i="1"/>
  <c r="R241" i="1"/>
  <c r="R3" i="1"/>
  <c r="R5" i="1"/>
  <c r="R6" i="1"/>
  <c r="R7" i="1"/>
  <c r="R8" i="1"/>
  <c r="R13" i="1"/>
  <c r="R10" i="1"/>
  <c r="R12" i="1"/>
  <c r="R16" i="1"/>
  <c r="R11" i="1"/>
  <c r="R17" i="1"/>
  <c r="R22" i="1"/>
  <c r="R26" i="1"/>
  <c r="R21" i="1"/>
  <c r="R20" i="1"/>
  <c r="R15" i="1"/>
  <c r="R27" i="1"/>
  <c r="R18" i="1"/>
  <c r="R24" i="1"/>
  <c r="R28" i="1"/>
  <c r="R29" i="1"/>
  <c r="R30" i="1"/>
  <c r="R32" i="1"/>
  <c r="R33" i="1"/>
  <c r="R34" i="1"/>
  <c r="R23" i="1"/>
  <c r="R35" i="1"/>
  <c r="R37" i="1"/>
  <c r="R36" i="1"/>
  <c r="R38" i="1"/>
  <c r="R39" i="1"/>
  <c r="R41" i="1"/>
  <c r="R45" i="1"/>
  <c r="R46" i="1"/>
  <c r="R44" i="1"/>
  <c r="R48" i="1"/>
  <c r="R49" i="1"/>
  <c r="R52" i="1"/>
  <c r="R31" i="1"/>
  <c r="R51" i="1"/>
  <c r="R59" i="1"/>
  <c r="R57" i="1"/>
  <c r="R56" i="1"/>
  <c r="R50" i="1"/>
  <c r="R55" i="1"/>
  <c r="R62" i="1"/>
  <c r="R63" i="1"/>
  <c r="R53" i="1"/>
  <c r="R78" i="1"/>
  <c r="R66" i="1"/>
  <c r="R67" i="1"/>
  <c r="R54" i="1"/>
  <c r="R64" i="1"/>
  <c r="R61" i="1"/>
  <c r="R70" i="1"/>
  <c r="R71" i="1"/>
  <c r="R72" i="1"/>
  <c r="R74" i="1"/>
  <c r="R79" i="1"/>
  <c r="R80" i="1"/>
  <c r="R77" i="1"/>
  <c r="R85" i="1"/>
  <c r="R69" i="1"/>
  <c r="R87" i="1"/>
  <c r="R92" i="1"/>
  <c r="R91" i="1"/>
  <c r="R93" i="1"/>
  <c r="R89" i="1"/>
  <c r="R60" i="1"/>
  <c r="R95" i="1"/>
  <c r="R104" i="1"/>
  <c r="R76" i="1"/>
  <c r="R100" i="1"/>
  <c r="R105" i="1"/>
  <c r="R103" i="1"/>
  <c r="R97" i="1"/>
  <c r="R106" i="1"/>
  <c r="R102" i="1"/>
  <c r="R125" i="1"/>
  <c r="R101" i="1"/>
  <c r="R111" i="1"/>
  <c r="R109" i="1"/>
  <c r="R107" i="1"/>
  <c r="R99" i="1"/>
  <c r="R113" i="1"/>
  <c r="R110" i="1"/>
  <c r="R117" i="1"/>
  <c r="R118" i="1"/>
  <c r="R119" i="1"/>
  <c r="R120" i="1"/>
  <c r="R122" i="1"/>
  <c r="R123" i="1"/>
  <c r="R84" i="1"/>
  <c r="R124" i="1"/>
  <c r="R96" i="1"/>
  <c r="R126" i="1"/>
  <c r="R130" i="1"/>
  <c r="R131" i="1"/>
  <c r="R132" i="1"/>
  <c r="R112" i="1"/>
  <c r="R133" i="1"/>
  <c r="R137" i="1"/>
  <c r="R138" i="1"/>
  <c r="R139" i="1"/>
  <c r="R135" i="1"/>
  <c r="R141" i="1"/>
  <c r="R144" i="1"/>
  <c r="R116" i="1"/>
  <c r="R145" i="1"/>
  <c r="R146" i="1"/>
  <c r="R147" i="1"/>
  <c r="R151" i="1"/>
  <c r="R152" i="1"/>
  <c r="R142" i="1"/>
  <c r="R153" i="1"/>
  <c r="R154" i="1"/>
  <c r="R157" i="1"/>
  <c r="R158" i="1"/>
  <c r="R159" i="1"/>
  <c r="R160" i="1"/>
  <c r="R156" i="1"/>
  <c r="R162" i="1"/>
  <c r="R161" i="1"/>
  <c r="R165" i="1"/>
  <c r="R164" i="1"/>
  <c r="R170" i="1"/>
  <c r="R171" i="1"/>
  <c r="R155" i="1"/>
  <c r="R187" i="1"/>
  <c r="R174" i="1"/>
  <c r="R177" i="1"/>
  <c r="R178" i="1"/>
  <c r="R179" i="1"/>
  <c r="R181" i="1"/>
  <c r="R182" i="1"/>
  <c r="R185" i="1"/>
  <c r="R180" i="1"/>
  <c r="R183" i="1"/>
  <c r="R186" i="1"/>
  <c r="R168" i="1"/>
  <c r="R188" i="1"/>
  <c r="R189" i="1"/>
  <c r="R199" i="1"/>
  <c r="R191" i="1"/>
  <c r="R196" i="1"/>
  <c r="R197" i="1"/>
  <c r="R198" i="1"/>
  <c r="R190" i="1"/>
  <c r="R200" i="1"/>
  <c r="R184" i="1"/>
  <c r="R203" i="1"/>
  <c r="R204" i="1"/>
  <c r="R205" i="1"/>
  <c r="R211" i="1"/>
  <c r="R207" i="1"/>
  <c r="R212" i="1"/>
  <c r="R213" i="1"/>
  <c r="R209" i="1"/>
  <c r="R217" i="1"/>
  <c r="R201" i="1"/>
  <c r="R208" i="1"/>
  <c r="R218" i="1"/>
  <c r="R219" i="1"/>
  <c r="R222" i="1"/>
  <c r="R223" i="1"/>
  <c r="R225" i="1"/>
  <c r="R210" i="1"/>
  <c r="R228" i="1"/>
  <c r="R229" i="1"/>
  <c r="R220" i="1"/>
  <c r="R231" i="1"/>
  <c r="R234" i="1"/>
  <c r="R235" i="1"/>
  <c r="R221" i="1"/>
  <c r="R237" i="1"/>
  <c r="R238" i="1"/>
  <c r="R254" i="1"/>
  <c r="R242" i="1"/>
  <c r="R243" i="1"/>
  <c r="R245" i="1"/>
  <c r="R246" i="1"/>
  <c r="R247" i="1"/>
  <c r="R248" i="1"/>
  <c r="R249" i="1"/>
  <c r="R250" i="1"/>
  <c r="R251" i="1"/>
  <c r="R252" i="1"/>
  <c r="R253" i="1"/>
  <c r="R255" i="1"/>
  <c r="R256" i="1"/>
  <c r="R257" i="1"/>
  <c r="R258" i="1"/>
  <c r="R259" i="1"/>
  <c r="R260" i="1"/>
  <c r="R261" i="1"/>
  <c r="R262" i="1"/>
  <c r="R279" i="1"/>
  <c r="R264" i="1"/>
  <c r="R265" i="1"/>
  <c r="R266" i="1"/>
  <c r="R267" i="1"/>
  <c r="R268" i="1"/>
  <c r="R269" i="1"/>
  <c r="R270" i="1"/>
  <c r="R271" i="1"/>
  <c r="R272" i="1"/>
  <c r="R274" i="1"/>
  <c r="R275" i="1"/>
  <c r="R276" i="1"/>
  <c r="R277" i="1"/>
  <c r="R278" i="1"/>
  <c r="R280" i="1"/>
  <c r="R281" i="1"/>
  <c r="R282" i="1"/>
  <c r="R283" i="1"/>
  <c r="R284" i="1"/>
  <c r="R285" i="1"/>
  <c r="R286" i="1"/>
  <c r="R288" i="1"/>
  <c r="R289" i="1"/>
  <c r="R290" i="1"/>
  <c r="R291" i="1"/>
  <c r="R292" i="1"/>
  <c r="R293" i="1"/>
  <c r="R294" i="1"/>
  <c r="R295" i="1"/>
  <c r="R296" i="1"/>
  <c r="R297" i="1"/>
  <c r="R298" i="1"/>
  <c r="R2" i="1"/>
  <c r="P254" i="1"/>
  <c r="Q254" i="1"/>
  <c r="P106" i="1"/>
  <c r="Q106" i="1"/>
  <c r="P211" i="1"/>
  <c r="Q211" i="1"/>
  <c r="Q20" i="1"/>
  <c r="P20" i="1"/>
  <c r="Q187" i="1"/>
  <c r="P187" i="1"/>
  <c r="Q70" i="1"/>
  <c r="P70" i="1"/>
  <c r="P161" i="1"/>
  <c r="Q161" i="1"/>
  <c r="P122" i="1"/>
  <c r="Q122" i="1"/>
  <c r="P91" i="1"/>
  <c r="Q91" i="1"/>
  <c r="P123" i="1"/>
  <c r="Q123" i="1"/>
  <c r="P145" i="1"/>
  <c r="Q145" i="1"/>
  <c r="P159" i="1"/>
  <c r="Q159" i="1"/>
  <c r="P51" i="1"/>
  <c r="Q51" i="1"/>
  <c r="P217" i="1"/>
  <c r="Q217" i="1"/>
  <c r="P157" i="1"/>
  <c r="Q157" i="1"/>
  <c r="P53" i="1"/>
  <c r="Q53" i="1"/>
  <c r="P156" i="1"/>
  <c r="Q156" i="1"/>
  <c r="P33" i="1"/>
  <c r="Q33" i="1"/>
  <c r="L530" i="2"/>
  <c r="L531" i="2"/>
  <c r="L532" i="2"/>
  <c r="L534" i="2"/>
  <c r="L535" i="2"/>
  <c r="L533" i="2"/>
  <c r="L536" i="2"/>
  <c r="L537" i="2"/>
  <c r="L526" i="2"/>
  <c r="L2" i="2"/>
  <c r="P85" i="1"/>
  <c r="Q85" i="1"/>
  <c r="P8" i="1"/>
  <c r="Q8" i="1"/>
  <c r="Q72" i="1"/>
  <c r="P72" i="1"/>
  <c r="P199" i="1"/>
  <c r="Q199" i="1"/>
  <c r="P71" i="1"/>
  <c r="Q71" i="1"/>
  <c r="P41" i="1"/>
  <c r="Q41" i="1"/>
  <c r="Q183" i="1"/>
  <c r="P183"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104" i="1"/>
  <c r="Q104" i="1"/>
  <c r="P153" i="1"/>
  <c r="Q153" i="1"/>
  <c r="P97" i="1"/>
  <c r="Q97" i="1"/>
  <c r="P279" i="1"/>
  <c r="Q279" i="1"/>
  <c r="P179" i="1"/>
  <c r="Q179" i="1"/>
  <c r="P146" i="1"/>
  <c r="Q146" i="1"/>
  <c r="P259" i="1"/>
  <c r="Q259" i="1"/>
  <c r="D13" i="8"/>
  <c r="D14" i="8"/>
  <c r="D12" i="8"/>
  <c r="C13" i="8"/>
  <c r="C14" i="8"/>
  <c r="C12" i="8"/>
  <c r="P95" i="1"/>
  <c r="Q95" i="1"/>
  <c r="P160" i="1"/>
  <c r="Q160" i="1"/>
  <c r="P76" i="1"/>
  <c r="Q76" i="1"/>
  <c r="P92" i="1"/>
  <c r="Q92" i="1"/>
  <c r="Q116" i="1"/>
  <c r="P116" i="1"/>
  <c r="Q219" i="1"/>
  <c r="P219" i="1"/>
  <c r="P147" i="1"/>
  <c r="Q147" i="1"/>
  <c r="P207" i="1"/>
  <c r="Q207" i="1"/>
  <c r="P57" i="1"/>
  <c r="Q57" i="1"/>
  <c r="P190" i="1"/>
  <c r="Q190" i="1"/>
  <c r="Q111" i="1"/>
  <c r="P111" i="1"/>
  <c r="P61" i="1"/>
  <c r="Q61" i="1"/>
  <c r="Q151" i="1"/>
  <c r="P133" i="1"/>
  <c r="Q182" i="1"/>
  <c r="P291" i="1"/>
  <c r="P298" i="1"/>
  <c r="P109" i="1"/>
  <c r="Q130" i="1"/>
  <c r="P26" i="1"/>
  <c r="P21" i="1"/>
  <c r="P11" i="1"/>
  <c r="P15" i="1"/>
  <c r="P27" i="1"/>
  <c r="P18" i="1"/>
  <c r="P29" i="1"/>
  <c r="Q32" i="1"/>
  <c r="P32" i="1"/>
  <c r="P34" i="1"/>
  <c r="P35" i="1"/>
  <c r="P49" i="1"/>
  <c r="P54" i="1"/>
  <c r="P56" i="1"/>
  <c r="P31" i="1"/>
  <c r="P67" i="1"/>
  <c r="P55" i="1"/>
  <c r="Q26" i="1"/>
  <c r="P46" i="1"/>
  <c r="P45" i="1"/>
  <c r="P74" i="1"/>
  <c r="Q23" i="1"/>
  <c r="Q29" i="1"/>
  <c r="Q36" i="1"/>
  <c r="P103" i="1"/>
  <c r="Q298" i="1"/>
  <c r="P125" i="1"/>
  <c r="P101" i="1"/>
  <c r="P107" i="1"/>
  <c r="P99" i="1"/>
  <c r="P113" i="1"/>
  <c r="P110" i="1"/>
  <c r="P120" i="1"/>
  <c r="Q188" i="1"/>
  <c r="P137" i="1"/>
  <c r="P112" i="1"/>
  <c r="Q103" i="1"/>
  <c r="P164" i="1"/>
  <c r="P144" i="1"/>
  <c r="P154" i="1"/>
  <c r="Q96" i="1"/>
  <c r="Q50" i="1"/>
  <c r="Q270" i="1"/>
  <c r="P168" i="1"/>
  <c r="P188" i="1"/>
  <c r="P152" i="1"/>
  <c r="Q144" i="1"/>
  <c r="P177" i="1"/>
  <c r="P182" i="1"/>
  <c r="Q200" i="1"/>
  <c r="P198" i="1"/>
  <c r="P212" i="1"/>
  <c r="P197" i="1"/>
  <c r="P209" i="1"/>
  <c r="P181" i="1"/>
  <c r="P180" i="1"/>
  <c r="P174" i="1"/>
  <c r="P204" i="1"/>
  <c r="P184" i="1"/>
  <c r="P242" i="1"/>
  <c r="P243" i="1"/>
  <c r="Q64" i="1"/>
  <c r="P234" i="1"/>
  <c r="P229" i="1"/>
  <c r="P220" i="1"/>
  <c r="P231" i="1"/>
  <c r="Q212" i="1"/>
  <c r="Q208" i="1"/>
  <c r="P246" i="1"/>
  <c r="P247" i="1"/>
  <c r="P248" i="1"/>
  <c r="Q102" i="1"/>
  <c r="P250" i="1"/>
  <c r="Q6" i="1"/>
  <c r="Q126" i="1"/>
  <c r="P268" i="1"/>
  <c r="P266" i="1"/>
  <c r="Q119" i="1"/>
  <c r="Q196" i="1"/>
  <c r="Q223" i="1"/>
  <c r="P281" i="1"/>
  <c r="P282" i="1"/>
  <c r="P290" i="1"/>
  <c r="Q56" i="1"/>
  <c r="P292" i="1"/>
  <c r="P293" i="1"/>
  <c r="P295" i="1"/>
  <c r="Q201" i="1"/>
  <c r="Q281" i="1"/>
  <c r="Q238" i="1"/>
  <c r="P7" i="1"/>
  <c r="Q245" i="1"/>
  <c r="P24" i="1"/>
  <c r="P28" i="1"/>
  <c r="P23" i="1"/>
  <c r="Q35" i="1"/>
  <c r="P44" i="1"/>
  <c r="Q237" i="1"/>
  <c r="Q242" i="1"/>
  <c r="Q38" i="1"/>
  <c r="P89" i="1"/>
  <c r="P63" i="1"/>
  <c r="Q205" i="1"/>
  <c r="P126" i="1"/>
  <c r="P117" i="1"/>
  <c r="P118" i="1"/>
  <c r="Q203" i="1"/>
  <c r="P96" i="1"/>
  <c r="Q118" i="1"/>
  <c r="P138" i="1"/>
  <c r="P139" i="1"/>
  <c r="P155" i="1"/>
  <c r="P185" i="1"/>
  <c r="Q229" i="1"/>
  <c r="P78" i="1"/>
  <c r="P162" i="1"/>
  <c r="Q168" i="1"/>
  <c r="Q271" i="1"/>
  <c r="P205" i="1"/>
  <c r="P238" i="1"/>
  <c r="P200" i="1"/>
  <c r="Q274" i="1"/>
  <c r="P191" i="1"/>
  <c r="P218" i="1"/>
  <c r="P252" i="1"/>
  <c r="P253" i="1"/>
  <c r="Q286" i="1"/>
  <c r="P261" i="1"/>
  <c r="P262" i="1"/>
  <c r="Q79" i="1"/>
  <c r="Q290" i="1"/>
  <c r="P275" i="1"/>
  <c r="P276" i="1"/>
  <c r="Q49" i="1"/>
  <c r="P288" i="1"/>
  <c r="P289" i="1"/>
  <c r="P3" i="1"/>
  <c r="Q189" i="1"/>
  <c r="P5" i="1"/>
  <c r="Q99" i="1"/>
  <c r="P13" i="1"/>
  <c r="Q228" i="1"/>
  <c r="P6" i="1"/>
  <c r="P12" i="1"/>
  <c r="Q297" i="1"/>
  <c r="P16" i="1"/>
  <c r="Q276" i="1"/>
  <c r="P17" i="1"/>
  <c r="Q59" i="1"/>
  <c r="P22" i="1"/>
  <c r="Q120" i="1"/>
  <c r="P38" i="1"/>
  <c r="Q249" i="1"/>
  <c r="P37" i="1"/>
  <c r="Q234" i="1"/>
  <c r="P36" i="1"/>
  <c r="Q37" i="1"/>
  <c r="P39" i="1"/>
  <c r="P48" i="1"/>
  <c r="Q89" i="1"/>
  <c r="P50" i="1"/>
  <c r="Q243" i="1"/>
  <c r="P52" i="1"/>
  <c r="Q109" i="1"/>
  <c r="P59" i="1"/>
  <c r="Q178" i="1"/>
  <c r="P93" i="1"/>
  <c r="Q2" i="1"/>
  <c r="P87" i="1"/>
  <c r="Q142" i="1"/>
  <c r="P64" i="1"/>
  <c r="Q48" i="1"/>
  <c r="P100" i="1"/>
  <c r="P60" i="1"/>
  <c r="Q100" i="1"/>
  <c r="P105" i="1"/>
  <c r="Q225" i="1"/>
  <c r="Q46" i="1"/>
  <c r="P102" i="1"/>
  <c r="P130" i="1"/>
  <c r="Q177" i="1"/>
  <c r="P131" i="1"/>
  <c r="Q269" i="1"/>
  <c r="P124" i="1"/>
  <c r="Q247" i="1"/>
  <c r="P132" i="1"/>
  <c r="P151" i="1"/>
  <c r="Q7" i="1"/>
  <c r="Q197" i="1"/>
  <c r="P135" i="1"/>
  <c r="P158" i="1"/>
  <c r="Q55" i="1"/>
  <c r="P170" i="1"/>
  <c r="Q84" i="1"/>
  <c r="P171" i="1"/>
  <c r="Q180" i="1"/>
  <c r="P208" i="1"/>
  <c r="Q62" i="1"/>
  <c r="P196" i="1"/>
  <c r="P189" i="1"/>
  <c r="Q132" i="1"/>
  <c r="P186" i="1"/>
  <c r="Q220" i="1"/>
  <c r="P203" i="1"/>
  <c r="Q198" i="1"/>
  <c r="Q252" i="1"/>
  <c r="P235" i="1"/>
  <c r="Q34" i="1"/>
  <c r="P228" i="1"/>
  <c r="Q74" i="1"/>
  <c r="P225" i="1"/>
  <c r="Q18" i="1"/>
  <c r="P201" i="1"/>
  <c r="P223" i="1"/>
  <c r="Q3" i="1"/>
  <c r="P210" i="1"/>
  <c r="Q253" i="1"/>
  <c r="P221" i="1"/>
  <c r="Q113" i="1"/>
  <c r="P237" i="1"/>
  <c r="Q24" i="1"/>
  <c r="P245" i="1"/>
  <c r="P256" i="1"/>
  <c r="Q291" i="1"/>
  <c r="P257" i="1"/>
  <c r="Q69" i="1"/>
  <c r="P258" i="1"/>
  <c r="Q22" i="1"/>
  <c r="P260" i="1"/>
  <c r="P264" i="1"/>
  <c r="P255" i="1"/>
  <c r="Q80" i="1"/>
  <c r="P267" i="1"/>
  <c r="Q277" i="1"/>
  <c r="P270" i="1"/>
  <c r="Q165" i="1"/>
  <c r="P269" i="1"/>
  <c r="Q39" i="1"/>
  <c r="P265" i="1"/>
  <c r="Q152" i="1"/>
  <c r="P271" i="1"/>
  <c r="Q222" i="1"/>
  <c r="P272" i="1"/>
  <c r="P283" i="1"/>
  <c r="Q170" i="1"/>
  <c r="P284" i="1"/>
  <c r="Q251" i="1"/>
  <c r="P285" i="1"/>
  <c r="Q112" i="1"/>
  <c r="P286" i="1"/>
  <c r="Q124" i="1"/>
  <c r="Q210" i="1"/>
  <c r="P294" i="1"/>
  <c r="Q154" i="1"/>
  <c r="Q5" i="1"/>
  <c r="P296" i="1"/>
  <c r="Q137" i="1"/>
  <c r="P297" i="1"/>
  <c r="Q213" i="1"/>
  <c r="Q248" i="1"/>
  <c r="Q295" i="1"/>
  <c r="Q78" i="1"/>
  <c r="P142" i="1"/>
  <c r="Q278" i="1"/>
  <c r="P213" i="1"/>
  <c r="P66" i="1"/>
  <c r="Q12" i="1"/>
  <c r="Q264" i="1"/>
  <c r="Q191" i="1"/>
  <c r="P141" i="1"/>
  <c r="Q250" i="1"/>
  <c r="Q28" i="1"/>
  <c r="Q60" i="1"/>
  <c r="Q11" i="1"/>
  <c r="Q246" i="1"/>
  <c r="Q294" i="1"/>
  <c r="Q10" i="1"/>
  <c r="Q268" i="1"/>
  <c r="Q221" i="1"/>
  <c r="Q133" i="1"/>
  <c r="Q289" i="1"/>
  <c r="Q164" i="1"/>
  <c r="Q184" i="1"/>
  <c r="Q45" i="1"/>
  <c r="Q135" i="1"/>
  <c r="Q44" i="1"/>
  <c r="Q139" i="1"/>
  <c r="Q125" i="1"/>
  <c r="Q77" i="1"/>
  <c r="Q17" i="1"/>
  <c r="Q292" i="1"/>
  <c r="Q63" i="1"/>
  <c r="Q16" i="1"/>
  <c r="Q107" i="1"/>
  <c r="P77" i="1"/>
  <c r="Q266" i="1"/>
  <c r="P251" i="1"/>
  <c r="P84" i="1"/>
  <c r="Q272" i="1"/>
  <c r="P79" i="1"/>
  <c r="Q282" i="1"/>
  <c r="P277" i="1"/>
  <c r="P249" i="1"/>
  <c r="Q171" i="1"/>
  <c r="Q296" i="1"/>
  <c r="Q110" i="1"/>
  <c r="Q261" i="1"/>
  <c r="Q155" i="1"/>
  <c r="Q93" i="1"/>
  <c r="Q162" i="1"/>
  <c r="Q255" i="1"/>
  <c r="P280" i="1"/>
  <c r="P80" i="1"/>
  <c r="Q267" i="1"/>
  <c r="Q21" i="1"/>
  <c r="Q262" i="1"/>
  <c r="P278" i="1"/>
  <c r="P119" i="1"/>
  <c r="P30" i="1"/>
  <c r="Q256" i="1"/>
  <c r="P69" i="1"/>
  <c r="Q284" i="1"/>
  <c r="P178" i="1"/>
  <c r="P62" i="1"/>
  <c r="P165" i="1"/>
  <c r="Q265" i="1"/>
  <c r="Q138" i="1"/>
  <c r="Q174" i="1"/>
  <c r="Q285" i="1"/>
  <c r="Q15" i="1"/>
  <c r="Q52" i="1"/>
  <c r="Q131" i="1"/>
  <c r="Q30" i="1"/>
  <c r="Q186" i="1"/>
  <c r="Q27" i="1"/>
  <c r="Q235" i="1"/>
  <c r="Q218" i="1"/>
  <c r="Q158" i="1"/>
  <c r="Q293" i="1"/>
  <c r="Q283" i="1"/>
  <c r="Q66" i="1"/>
  <c r="Q204" i="1"/>
  <c r="Q31" i="1"/>
  <c r="Q67" i="1"/>
  <c r="Q260" i="1"/>
  <c r="Q275" i="1"/>
  <c r="Q117" i="1"/>
  <c r="Q280" i="1"/>
  <c r="Q258" i="1"/>
  <c r="Q181" i="1"/>
  <c r="Q185" i="1"/>
  <c r="Q257" i="1"/>
  <c r="Q231" i="1"/>
  <c r="Q209" i="1"/>
  <c r="Q101" i="1"/>
  <c r="Q288" i="1"/>
  <c r="Q54" i="1"/>
  <c r="Q105" i="1"/>
  <c r="Q87" i="1"/>
  <c r="Q13" i="1"/>
  <c r="P274" i="1"/>
  <c r="P222" i="1"/>
  <c r="P10" i="1"/>
  <c r="Q141"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61" i="1" l="1"/>
  <c r="T159" i="1"/>
  <c r="T156" i="1"/>
  <c r="T157" i="1"/>
  <c r="T155" i="1"/>
  <c r="T165" i="1"/>
  <c r="T164" i="1"/>
  <c r="T14" i="1"/>
  <c r="T233" i="1"/>
  <c r="T287" i="1"/>
  <c r="T195" i="1"/>
  <c r="T173" i="1"/>
  <c r="T8" i="1"/>
  <c r="T217" i="1"/>
  <c r="T68" i="1"/>
  <c r="T216" i="1"/>
  <c r="T254" i="1"/>
  <c r="T20" i="1"/>
  <c r="T194" i="1"/>
  <c r="T239" i="1"/>
  <c r="T244" i="1"/>
  <c r="T181" i="1"/>
  <c r="T242" i="1"/>
  <c r="T228" i="1"/>
  <c r="T191" i="1"/>
  <c r="T210" i="1"/>
  <c r="T220" i="1"/>
  <c r="T221" i="1"/>
  <c r="T53" i="1"/>
  <c r="T85" i="1"/>
  <c r="T91" i="1"/>
  <c r="T104" i="1"/>
  <c r="T97" i="1"/>
  <c r="T279" i="1"/>
  <c r="T179" i="1"/>
  <c r="T3" i="1"/>
  <c r="T5" i="1"/>
  <c r="T7" i="1"/>
  <c r="T6" i="1"/>
  <c r="T13" i="1"/>
  <c r="T10" i="1"/>
  <c r="T12" i="1"/>
  <c r="T16" i="1"/>
  <c r="T17" i="1"/>
  <c r="T22" i="1"/>
  <c r="T26" i="1"/>
  <c r="T21" i="1"/>
  <c r="T11" i="1"/>
  <c r="T15" i="1"/>
  <c r="T27" i="1"/>
  <c r="T18" i="1"/>
  <c r="T24" i="1"/>
  <c r="T28" i="1"/>
  <c r="T29" i="1"/>
  <c r="T30" i="1"/>
  <c r="T32" i="1"/>
  <c r="T34" i="1"/>
  <c r="T23" i="1"/>
  <c r="T38" i="1"/>
  <c r="T45" i="1"/>
  <c r="T46" i="1"/>
  <c r="T48" i="1"/>
  <c r="T49" i="1"/>
  <c r="T52" i="1"/>
  <c r="T59" i="1"/>
  <c r="T57" i="1"/>
  <c r="T56" i="1"/>
  <c r="T50" i="1"/>
  <c r="T55" i="1"/>
  <c r="T62" i="1"/>
  <c r="T63" i="1"/>
  <c r="T67" i="1"/>
  <c r="T66" i="1"/>
  <c r="T54" i="1"/>
  <c r="T64" i="1"/>
  <c r="T74" i="1"/>
  <c r="T77" i="1"/>
  <c r="T79" i="1"/>
  <c r="T80" i="1"/>
  <c r="T69" i="1"/>
  <c r="T87" i="1"/>
  <c r="T92" i="1"/>
  <c r="T95" i="1"/>
  <c r="T93" i="1"/>
  <c r="T89" i="1"/>
  <c r="T61" i="1"/>
  <c r="T60" i="1"/>
  <c r="T76" i="1"/>
  <c r="T100" i="1"/>
  <c r="T105" i="1"/>
  <c r="T103" i="1"/>
  <c r="T102" i="1"/>
  <c r="T125" i="1"/>
  <c r="T101" i="1"/>
  <c r="T109" i="1"/>
  <c r="T111" i="1"/>
  <c r="T107" i="1"/>
  <c r="T99" i="1"/>
  <c r="T113" i="1"/>
  <c r="T110" i="1"/>
  <c r="T117" i="1"/>
  <c r="T118" i="1"/>
  <c r="T119" i="1"/>
  <c r="T120" i="1"/>
  <c r="T84" i="1"/>
  <c r="T124" i="1"/>
  <c r="T96" i="1"/>
  <c r="T126" i="1"/>
  <c r="T130" i="1"/>
  <c r="T131" i="1"/>
  <c r="T132" i="1"/>
  <c r="T133" i="1"/>
  <c r="T137" i="1"/>
  <c r="T138" i="1"/>
  <c r="T139" i="1"/>
  <c r="T112" i="1"/>
  <c r="T135" i="1"/>
  <c r="T144" i="1"/>
  <c r="T116" i="1"/>
  <c r="T141" i="1"/>
  <c r="T178" i="1"/>
  <c r="T168" i="1"/>
  <c r="T188" i="1"/>
  <c r="T177" i="1"/>
  <c r="T182" i="1"/>
  <c r="T185" i="1"/>
  <c r="T208" i="1"/>
  <c r="T196" i="1"/>
  <c r="T78" i="1"/>
  <c r="T189" i="1"/>
  <c r="T186" i="1"/>
  <c r="T203" i="1"/>
  <c r="T198" i="1"/>
  <c r="T212" i="1"/>
  <c r="T197" i="1"/>
  <c r="T209" i="1"/>
  <c r="T180" i="1"/>
  <c r="T207" i="1"/>
  <c r="T190" i="1"/>
  <c r="T174" i="1"/>
  <c r="T222" i="1"/>
  <c r="T205" i="1"/>
  <c r="T238" i="1"/>
  <c r="T204" i="1"/>
  <c r="T184" i="1"/>
  <c r="T243" i="1"/>
  <c r="T200" i="1"/>
  <c r="T235" i="1"/>
  <c r="T225" i="1"/>
  <c r="T201" i="1"/>
  <c r="T218" i="1"/>
  <c r="T219" i="1"/>
  <c r="T223" i="1"/>
  <c r="T234" i="1"/>
  <c r="T229" i="1"/>
  <c r="T231" i="1"/>
  <c r="T213" i="1"/>
  <c r="T237" i="1"/>
  <c r="T211" i="1"/>
  <c r="T33" i="1"/>
  <c r="T51" i="1"/>
  <c r="T123" i="1"/>
  <c r="T245" i="1"/>
  <c r="T246" i="1"/>
  <c r="T247" i="1"/>
  <c r="T248" i="1"/>
  <c r="T249" i="1"/>
  <c r="T250" i="1"/>
  <c r="T251" i="1"/>
  <c r="T252" i="1"/>
  <c r="T253" i="1"/>
  <c r="T256" i="1"/>
  <c r="T257" i="1"/>
  <c r="T258" i="1"/>
  <c r="T259" i="1"/>
  <c r="T260" i="1"/>
  <c r="T261" i="1"/>
  <c r="T262" i="1"/>
  <c r="T264" i="1"/>
  <c r="T268" i="1"/>
  <c r="T266" i="1"/>
  <c r="T255" i="1"/>
  <c r="T267" i="1"/>
  <c r="T270" i="1"/>
  <c r="T269" i="1"/>
  <c r="T265" i="1"/>
  <c r="T271" i="1"/>
  <c r="T272" i="1"/>
  <c r="T274" i="1"/>
  <c r="T275" i="1"/>
  <c r="T276" i="1"/>
  <c r="T277" i="1"/>
  <c r="T278" i="1"/>
  <c r="T280" i="1"/>
  <c r="T281" i="1"/>
  <c r="T282" i="1"/>
  <c r="T283" i="1"/>
  <c r="T284" i="1"/>
  <c r="T285" i="1"/>
  <c r="T286" i="1"/>
  <c r="T288" i="1"/>
  <c r="T289" i="1"/>
  <c r="T290" i="1"/>
  <c r="T291" i="1"/>
  <c r="T292" i="1"/>
  <c r="T293" i="1"/>
  <c r="T294" i="1"/>
  <c r="T295" i="1"/>
  <c r="T296" i="1"/>
  <c r="T297" i="1"/>
  <c r="T298" i="1"/>
  <c r="T146" i="1"/>
  <c r="T2" i="1"/>
  <c r="T106" i="1"/>
  <c r="T72" i="1"/>
  <c r="T183" i="1"/>
  <c r="T86" i="1"/>
  <c r="T150" i="1"/>
  <c r="T241" i="1"/>
  <c r="T41" i="1"/>
  <c r="T70" i="1"/>
  <c r="T71" i="1"/>
  <c r="T122" i="1"/>
  <c r="T145" i="1"/>
  <c r="T187" i="1"/>
  <c r="T98" i="1"/>
  <c r="T172" i="1"/>
  <c r="T199" i="1"/>
  <c r="T236" i="1"/>
  <c r="T88" i="1"/>
  <c r="T175" i="1"/>
  <c r="T167" i="1"/>
  <c r="T149" i="1"/>
  <c r="T215" i="1"/>
  <c r="T83" i="1"/>
  <c r="T42" i="1"/>
  <c r="T44" i="1"/>
  <c r="T40" i="1"/>
  <c r="T31" i="1"/>
  <c r="T39" i="1"/>
  <c r="T37" i="1"/>
  <c r="T36" i="1"/>
  <c r="T35" i="1"/>
</calcChain>
</file>

<file path=xl/sharedStrings.xml><?xml version="1.0" encoding="utf-8"?>
<sst xmlns="http://schemas.openxmlformats.org/spreadsheetml/2006/main" count="4726" uniqueCount="1338">
  <si>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</si>
  <si>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</si>
  <si>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</si>
  <si>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</si>
  <si>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</si>
  <si>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</si>
  <si>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</si>
  <si>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</si>
  <si>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</si>
  <si>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</si>
  <si>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</si>
  <si>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</si>
  <si>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</si>
  <si>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</si>
  <si>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</si>
  <si>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</si>
  <si>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</si>
  <si>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</si>
  <si>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</si>
  <si>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</si>
  <si>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</si>
  <si>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</si>
  <si>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</si>
  <si>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</si>
  <si>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</si>
  <si>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</si>
  <si>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</si>
  <si>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</si>
  <si>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</si>
  <si>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</si>
  <si>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</si>
  <si>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</si>
  <si>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</si>
  <si>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</si>
  <si>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</si>
  <si>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</si>
  <si>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</si>
  <si>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</si>
  <si>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</si>
  <si>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</si>
  <si>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</si>
  <si>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</si>
  <si>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</si>
  <si>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</si>
  <si>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</si>
  <si>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</si>
  <si>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</si>
  <si>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</si>
  <si>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</si>
  <si>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</si>
  <si>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</si>
  <si>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</si>
  <si>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</si>
  <si>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</si>
  <si>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</si>
  <si>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</si>
  <si>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</si>
  <si>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</si>
  <si>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</si>
  <si>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</si>
  <si>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</si>
  <si>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</si>
  <si>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</si>
  <si>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</si>
  <si>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</si>
  <si>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</si>
  <si>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</si>
  <si>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</si>
  <si>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</si>
  <si>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</si>
  <si>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</si>
  <si>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</si>
  <si>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</si>
  <si>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</si>
  <si>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</si>
  <si>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</si>
  <si>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</si>
  <si>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</si>
  <si>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</si>
  <si>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</si>
  <si>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</si>
  <si>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</si>
  <si>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</si>
  <si>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</si>
  <si>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</si>
  <si>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</si>
  <si>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</si>
  <si>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</si>
  <si>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</si>
  <si>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</si>
  <si>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</si>
  <si>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</si>
  <si>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</si>
  <si>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</si>
  <si>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</si>
  <si>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</si>
  <si>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</si>
  <si>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</si>
  <si>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</si>
  <si>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</si>
  <si>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</si>
  <si>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</si>
  <si>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</si>
  <si>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</si>
  <si>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</si>
  <si>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</si>
  <si>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</si>
  <si>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</si>
  <si>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</si>
  <si>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</si>
  <si>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</si>
  <si>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</si>
  <si>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</si>
  <si>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</si>
  <si>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</si>
  <si>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</si>
  <si>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</si>
  <si>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</si>
  <si>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</si>
  <si>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</si>
  <si>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</si>
  <si>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</si>
  <si>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</si>
  <si>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</si>
  <si>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</si>
  <si>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</si>
  <si>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</si>
  <si>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</si>
  <si>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</si>
  <si>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</si>
  <si>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</si>
  <si>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</si>
  <si>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</si>
  <si>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</si>
  <si>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</si>
  <si>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</si>
  <si>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</si>
  <si>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</si>
  <si>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</si>
  <si>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</si>
  <si>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</si>
  <si>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</si>
  <si>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</si>
  <si>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</si>
  <si>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</si>
  <si>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</si>
  <si>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</si>
  <si>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</si>
  <si>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</si>
  <si>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</si>
  <si>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</si>
  <si>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</si>
  <si>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</si>
  <si>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</si>
  <si>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</si>
  <si>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</si>
  <si>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</si>
  <si>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</si>
  <si>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</si>
  <si>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</si>
  <si>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</si>
  <si>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</si>
  <si>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</si>
  <si>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</si>
  <si>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</si>
  <si>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</si>
  <si>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</si>
  <si>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</si>
  <si>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</si>
  <si>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</si>
  <si>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</si>
  <si>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</si>
  <si>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</si>
  <si>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</si>
  <si>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</si>
  <si>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</si>
  <si>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</si>
  <si>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</si>
  <si>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</si>
  <si>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</si>
  <si>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</si>
  <si>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</si>
  <si>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</si>
  <si>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</si>
  <si>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</si>
  <si>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</si>
  <si>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</si>
  <si>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</si>
  <si>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</si>
  <si>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</si>
  <si>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</si>
  <si>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</si>
  <si>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</si>
  <si>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</si>
  <si>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</si>
  <si>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</si>
  <si>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</si>
  <si>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</si>
  <si>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</si>
  <si>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</si>
  <si>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</si>
  <si>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</si>
  <si>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</si>
  <si>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</si>
  <si>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</si>
  <si>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</si>
  <si>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</si>
  <si>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</si>
  <si>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</si>
  <si>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</si>
  <si>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</si>
  <si>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</si>
  <si>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</si>
  <si>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</si>
  <si>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</si>
  <si>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</si>
  <si>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</si>
  <si>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</si>
  <si>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</si>
  <si>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</si>
  <si>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</si>
  <si>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</si>
  <si>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</si>
  <si>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</si>
  <si>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</si>
  <si>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</si>
  <si>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</si>
  <si>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</si>
  <si>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</si>
  <si>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</si>
  <si>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</si>
  <si>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</si>
  <si>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</si>
  <si>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</si>
  <si>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</si>
  <si>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</si>
  <si>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</si>
  <si>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</si>
  <si>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</si>
  <si>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</si>
  <si>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</si>
  <si>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</si>
  <si>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</si>
  <si>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</si>
  <si>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</si>
  <si>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</si>
  <si>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</si>
  <si>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</si>
  <si>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</si>
  <si>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</si>
  <si>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</si>
  <si>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</si>
  <si>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</si>
  <si>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</si>
  <si>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</si>
  <si>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</si>
  <si>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</si>
  <si>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</si>
  <si>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</si>
  <si>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</si>
  <si>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</si>
  <si>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</si>
  <si>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</si>
  <si>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</si>
  <si>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</si>
  <si>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</si>
  <si>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</si>
  <si>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</si>
  <si>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</si>
  <si>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</si>
  <si>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</si>
  <si>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</si>
  <si>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</si>
  <si>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</si>
  <si>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</si>
  <si>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</si>
  <si>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</si>
  <si>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</si>
  <si>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</si>
  <si>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</si>
  <si>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</si>
  <si>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</si>
  <si>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</si>
  <si>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</si>
  <si>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</si>
  <si>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</si>
  <si>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</si>
  <si>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</si>
  <si>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</si>
  <si>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</si>
  <si>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</si>
  <si>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</si>
  <si>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</si>
  <si>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</si>
  <si>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</si>
  <si>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</si>
  <si>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</si>
  <si>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</si>
  <si>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</si>
  <si>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</si>
  <si>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</si>
  <si>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</si>
  <si>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</si>
  <si>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</si>
  <si>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</si>
  <si>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</si>
  <si>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</si>
  <si>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</si>
  <si>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</si>
  <si>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</si>
  <si>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</si>
  <si>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</si>
  <si>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</si>
  <si>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</si>
  <si>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</si>
  <si>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</si>
  <si>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</si>
  <si>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</si>
  <si>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</si>
  <si>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</si>
  <si>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</si>
  <si>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</si>
  <si>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</si>
  <si>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</si>
  <si>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</si>
  <si>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</si>
  <si>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</si>
  <si>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</si>
  <si>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</si>
  <si>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</si>
  <si>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</si>
  <si>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</si>
  <si>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</si>
  <si>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</si>
  <si>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</si>
  <si>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</si>
  <si>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</si>
  <si>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</si>
  <si>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</si>
  <si>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</si>
  <si>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</si>
  <si>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</si>
  <si>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</si>
  <si>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</si>
  <si>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</si>
  <si>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</si>
  <si>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</si>
  <si>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</si>
  <si>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</si>
  <si>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</si>
  <si>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</si>
  <si>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</si>
  <si>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</si>
  <si>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</si>
  <si>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</si>
  <si>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</si>
  <si>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</si>
  <si>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</si>
  <si>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</si>
  <si>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</si>
  <si>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</si>
  <si>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</si>
  <si>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</si>
  <si>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</si>
  <si>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</si>
  <si>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</si>
  <si>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</si>
  <si>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</si>
  <si>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</si>
  <si>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</si>
  <si>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</si>
  <si>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</si>
  <si>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</si>
  <si>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</si>
  <si>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</si>
  <si>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</si>
  <si>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</si>
  <si>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</si>
  <si>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</si>
  <si>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</si>
  <si>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</si>
  <si>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</si>
  <si>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</si>
  <si>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</si>
  <si>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</si>
  <si>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</si>
  <si>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</si>
  <si>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</si>
  <si>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</si>
  <si>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</si>
  <si>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</si>
  <si>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</si>
  <si>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</si>
  <si>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</si>
  <si>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</si>
  <si>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</si>
  <si>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</si>
  <si>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</si>
  <si>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</si>
  <si>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</si>
  <si>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</si>
  <si>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</si>
  <si>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</si>
  <si>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</si>
  <si>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</si>
  <si>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</si>
  <si>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</si>
  <si>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</si>
  <si>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</si>
  <si>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</si>
  <si>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</si>
  <si>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</si>
  <si>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</si>
  <si>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</si>
  <si>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</si>
  <si>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</si>
  <si>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</si>
  <si>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</si>
  <si>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</si>
  <si>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</si>
  <si>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</si>
  <si>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</si>
  <si>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</si>
  <si>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</si>
  <si>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</si>
  <si>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</si>
  <si>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</si>
  <si>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</si>
  <si>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</si>
  <si>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</si>
  <si>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</si>
  <si>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</si>
  <si>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</si>
  <si>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</si>
  <si>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</si>
  <si>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</si>
  <si>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</si>
  <si>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</si>
  <si>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</si>
  <si>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</si>
  <si>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</si>
  <si>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</si>
  <si>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</si>
  <si>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</si>
  <si>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</si>
  <si>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</si>
  <si>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</si>
  <si>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</si>
  <si>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</si>
  <si>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</si>
  <si>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</si>
  <si>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</si>
  <si>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</si>
  <si>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</si>
  <si>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</si>
  <si>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</si>
  <si>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</si>
  <si>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</si>
  <si>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</si>
  <si>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</si>
  <si>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</si>
  <si>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</si>
  <si>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</si>
  <si>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</si>
  <si>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</si>
  <si>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</si>
  <si>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</si>
  <si>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</si>
  <si>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</si>
  <si>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</si>
  <si>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</si>
  <si>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</si>
  <si>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</si>
  <si>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</si>
  <si>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</si>
  <si>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</si>
  <si>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</si>
  <si>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</si>
  <si>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</si>
  <si>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</si>
  <si>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</si>
  <si>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</si>
  <si>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</si>
  <si>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</si>
  <si>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</si>
  <si>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</si>
  <si>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</si>
  <si>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</si>
  <si>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</si>
  <si>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</si>
  <si>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</si>
  <si>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</si>
  <si>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</si>
  <si>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</si>
  <si>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</si>
  <si>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</si>
  <si>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</si>
  <si>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</si>
  <si>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</si>
  <si>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</si>
  <si>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</si>
  <si>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</si>
  <si>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</si>
  <si>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</si>
  <si>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</si>
  <si>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</si>
  <si>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</si>
  <si>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</si>
  <si>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</si>
  <si>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</si>
  <si>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</si>
  <si>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</si>
  <si>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</si>
  <si>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</si>
  <si>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</si>
  <si>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</si>
  <si>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</si>
  <si>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</si>
  <si>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</si>
  <si>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</si>
  <si>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</si>
  <si>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</si>
  <si>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</si>
  <si>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</si>
  <si>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</si>
  <si>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</si>
  <si>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</si>
  <si>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</si>
  <si>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</si>
  <si>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</si>
  <si>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</si>
  <si>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</si>
  <si>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</si>
  <si>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</si>
  <si>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</si>
  <si>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</si>
  <si>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</si>
  <si>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</si>
  <si>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</si>
  <si>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</si>
  <si>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</si>
  <si>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</si>
  <si>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</si>
  <si>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</si>
  <si>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</si>
  <si>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</si>
  <si>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</si>
  <si>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</si>
  <si>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</si>
  <si>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</si>
  <si>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</si>
  <si>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</si>
  <si>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</si>
  <si>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</si>
  <si>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</si>
  <si>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</si>
  <si>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</si>
  <si>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</si>
  <si>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</si>
  <si>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</si>
  <si>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</si>
  <si>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</si>
  <si>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</si>
  <si>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</si>
  <si>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</si>
  <si>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</si>
  <si>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</si>
  <si>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</si>
  <si>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</si>
  <si>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</si>
  <si>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</si>
  <si>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</si>
  <si>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</si>
  <si>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</si>
  <si>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</si>
  <si>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</si>
  <si>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</si>
  <si>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</si>
  <si>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</si>
  <si>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</si>
  <si>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</si>
  <si>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</si>
  <si>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</si>
  <si>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</si>
  <si>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</si>
  <si>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</si>
  <si>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</si>
  <si>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</si>
  <si>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</si>
  <si>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</si>
  <si>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</si>
  <si>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</si>
  <si>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</si>
  <si>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</si>
  <si>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</si>
  <si>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</si>
  <si>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</si>
  <si>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</si>
  <si>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</si>
  <si>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</si>
  <si>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</si>
  <si>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</si>
  <si>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</si>
  <si>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</si>
  <si>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</si>
  <si>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</si>
  <si>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</si>
  <si>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</si>
  <si>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</si>
  <si>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</si>
  <si>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</si>
  <si>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</si>
  <si>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</si>
  <si>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</si>
  <si>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</si>
  <si>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</si>
  <si>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</si>
  <si>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</si>
  <si>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</si>
  <si>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</si>
  <si>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</si>
  <si>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</si>
  <si>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</si>
  <si>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</si>
  <si>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</si>
  <si>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</si>
  <si>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</si>
  <si>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</si>
  <si>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</si>
  <si>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</si>
  <si>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</si>
  <si>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</si>
  <si>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</si>
  <si>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</si>
  <si>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</si>
  <si>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</si>
  <si>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</si>
  <si>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</si>
  <si>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</si>
  <si>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</si>
  <si>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</si>
  <si>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</si>
  <si>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</si>
  <si>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</si>
  <si>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</si>
  <si>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</si>
  <si>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</si>
  <si>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</si>
  <si>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</si>
  <si>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</si>
  <si>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</si>
  <si>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</si>
  <si>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</si>
  <si>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</si>
  <si>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</si>
  <si>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</si>
  <si>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</si>
  <si>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</si>
  <si>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</si>
  <si>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</si>
  <si>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</si>
  <si>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</si>
  <si>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</si>
  <si>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</si>
  <si>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</si>
  <si>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</si>
  <si>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</si>
  <si>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</si>
  <si>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</si>
  <si>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</si>
  <si>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</si>
  <si>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</si>
  <si>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</si>
  <si>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</si>
  <si>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</si>
  <si>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</si>
  <si>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</si>
  <si>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</si>
  <si>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</si>
  <si>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</si>
  <si>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</si>
  <si>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</si>
  <si>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</si>
  <si>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</si>
  <si>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</si>
  <si>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</si>
  <si>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</si>
  <si>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</si>
  <si>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</si>
  <si>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</si>
  <si>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</si>
  <si>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</si>
  <si>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</si>
  <si>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</si>
  <si>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</si>
  <si>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</si>
  <si>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</si>
  <si>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</si>
  <si>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</si>
  <si>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</si>
  <si>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</si>
  <si>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</si>
  <si>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</si>
  <si>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</si>
  <si>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</si>
  <si>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</si>
  <si>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</si>
  <si>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</si>
  <si>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</si>
  <si>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</si>
  <si>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</si>
  <si>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</si>
  <si>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</si>
  <si>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</si>
  <si>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</si>
  <si>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</si>
  <si>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</si>
  <si>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</si>
  <si>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</si>
  <si>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</si>
  <si>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</si>
  <si>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</si>
  <si>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</si>
  <si>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</si>
  <si>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</si>
  <si>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</si>
  <si>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</si>
  <si>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</si>
  <si>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</si>
  <si>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</si>
  <si>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</si>
  <si>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</si>
  <si>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</si>
  <si>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</si>
  <si>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</si>
  <si>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</si>
  <si>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</si>
  <si>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</si>
  <si>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</si>
  <si>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</si>
  <si>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</si>
  <si>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</si>
  <si>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</si>
  <si>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</si>
  <si>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</si>
  <si>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</si>
  <si>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</si>
  <si>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</si>
  <si>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</si>
  <si>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</si>
  <si>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</si>
  <si>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</si>
  <si>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</si>
  <si>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</si>
  <si>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</si>
  <si>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</si>
  <si>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</si>
  <si>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</si>
  <si>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</si>
  <si>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</si>
  <si>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</si>
  <si>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</si>
  <si>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</si>
  <si>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</si>
  <si>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</si>
  <si>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</si>
  <si>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</si>
  <si>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</si>
  <si>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</si>
  <si>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</si>
  <si>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</si>
  <si>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</si>
  <si>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</si>
  <si>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</si>
  <si>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</si>
  <si>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</si>
  <si>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</si>
  <si>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</si>
  <si>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</si>
  <si>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</si>
  <si>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</si>
  <si>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</si>
  <si>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</si>
  <si>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</si>
  <si>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</si>
  <si>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</si>
  <si>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</si>
  <si>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</si>
  <si>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</si>
  <si>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</si>
  <si>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</si>
  <si>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</si>
  <si>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</si>
  <si>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</si>
  <si>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</si>
  <si>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</si>
  <si>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</si>
  <si>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</si>
  <si>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</si>
  <si>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</si>
  <si>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</si>
  <si>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</si>
  <si>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</si>
  <si>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</si>
  <si>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</si>
  <si>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</si>
  <si>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</si>
  <si>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</si>
  <si>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</si>
  <si>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</si>
  <si>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</si>
  <si>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</si>
  <si>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</si>
  <si>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</si>
  <si>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</si>
  <si>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</si>
  <si>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</si>
  <si>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</si>
  <si>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</si>
  <si>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</si>
  <si>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</si>
  <si>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</si>
  <si>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</si>
  <si>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</si>
  <si>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</si>
  <si>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</si>
  <si>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</si>
  <si>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</si>
  <si>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</si>
  <si>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</si>
  <si>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</si>
  <si>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</si>
  <si>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</si>
  <si>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</si>
  <si>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</si>
  <si>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</si>
  <si>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</si>
  <si>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</si>
  <si>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</si>
  <si>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</si>
  <si>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</si>
  <si>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</si>
  <si>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</si>
  <si>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</si>
  <si>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</si>
  <si>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</si>
  <si>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</si>
  <si>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</si>
  <si>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</si>
  <si>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</si>
  <si>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</si>
  <si>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</si>
  <si>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</si>
  <si>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</si>
  <si>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</si>
  <si>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</si>
  <si>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</si>
  <si>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</si>
  <si>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</si>
  <si>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</si>
  <si>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</si>
  <si>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</si>
  <si>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</si>
  <si>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</si>
  <si>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</si>
  <si>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</si>
  <si>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</si>
  <si>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</si>
  <si>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</si>
  <si>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</si>
  <si>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</si>
  <si>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</si>
  <si>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</si>
  <si>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</si>
  <si>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</si>
  <si>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</si>
  <si>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</si>
  <si>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</si>
  <si>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</si>
  <si>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</si>
  <si>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</si>
  <si>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</si>
  <si>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</si>
  <si>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</si>
  <si>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</si>
  <si>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</si>
  <si>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</si>
  <si>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</si>
  <si>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</si>
  <si>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</si>
  <si>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</si>
  <si>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</si>
  <si>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</si>
  <si>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</si>
  <si>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</si>
  <si>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</si>
  <si>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</si>
  <si>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</si>
  <si>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</si>
  <si>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</si>
  <si>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</si>
  <si>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</si>
  <si>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</si>
  <si>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</si>
  <si>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</si>
  <si>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</si>
  <si>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</si>
  <si>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</si>
  <si>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</si>
  <si>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</si>
  <si>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</si>
  <si>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</si>
  <si>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</si>
  <si>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</si>
  <si>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</si>
  <si>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</si>
  <si>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</si>
  <si>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</si>
  <si>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</si>
  <si>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</si>
  <si>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</si>
  <si>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</si>
  <si>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</si>
  <si>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</si>
  <si>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</si>
  <si>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</si>
  <si>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</si>
  <si>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</si>
  <si>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</si>
  <si>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</si>
  <si>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</si>
  <si>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</si>
  <si>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</si>
  <si>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</si>
  <si>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</si>
  <si>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</si>
  <si>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</si>
  <si>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</si>
  <si>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</si>
  <si>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</si>
  <si>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</si>
  <si>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</si>
  <si>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</si>
  <si>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</si>
  <si>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</si>
  <si>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</si>
  <si>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</si>
  <si>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</si>
  <si>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</si>
  <si>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</si>
  <si>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</si>
  <si>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</si>
  <si>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</si>
  <si>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</si>
  <si>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</si>
  <si>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</si>
  <si>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</si>
  <si>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</si>
  <si>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</si>
  <si>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</si>
  <si>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</si>
  <si>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</si>
  <si>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</si>
  <si>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</si>
  <si>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</si>
  <si>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</si>
  <si>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</si>
  <si>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</si>
  <si>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</si>
  <si>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</si>
  <si>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</si>
  <si>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</si>
  <si>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</si>
  <si>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</si>
  <si>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</si>
  <si>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</si>
  <si>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</si>
  <si>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</si>
  <si>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</si>
  <si>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</si>
  <si>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</si>
  <si>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</si>
  <si>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</si>
  <si>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</si>
  <si>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</si>
  <si>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</si>
  <si>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</si>
  <si>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</si>
  <si>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</si>
  <si>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</si>
  <si>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</si>
  <si>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</si>
  <si>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</si>
  <si>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</si>
  <si>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</si>
  <si>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</si>
  <si>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</si>
  <si>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</si>
  <si>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</si>
  <si>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</si>
  <si>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</si>
  <si>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</si>
  <si>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</si>
  <si>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</si>
  <si>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</si>
  <si>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</si>
  <si>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</si>
  <si>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</si>
  <si>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</si>
  <si>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</si>
  <si>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</si>
  <si>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</si>
  <si>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</si>
  <si>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</si>
  <si>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</si>
  <si>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</si>
  <si>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</si>
  <si>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</si>
  <si>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</si>
  <si>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</si>
  <si>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</si>
  <si>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</si>
  <si>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</si>
  <si>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</si>
  <si>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</si>
  <si>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</si>
  <si>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</si>
  <si>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</si>
  <si>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</si>
  <si>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</si>
  <si>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</si>
  <si>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</si>
  <si>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</si>
  <si>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</si>
  <si>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</si>
  <si>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</si>
  <si>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</si>
  <si>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</si>
  <si>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</si>
  <si>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</si>
  <si>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</si>
  <si>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</si>
  <si>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</si>
  <si>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</si>
  <si>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</si>
  <si>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</si>
  <si>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</si>
  <si>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</si>
  <si>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</si>
  <si>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</si>
  <si>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</si>
  <si>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</si>
  <si>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</si>
  <si>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</si>
  <si>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</si>
  <si>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</si>
  <si>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</si>
  <si>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</si>
  <si>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</si>
  <si>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</si>
  <si>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</si>
  <si>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</si>
  <si>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</si>
  <si>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</si>
  <si>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</si>
  <si>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</si>
  <si>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</si>
  <si>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</si>
  <si>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</si>
  <si>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</si>
  <si>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</si>
  <si>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</si>
  <si>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</si>
  <si>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</si>
  <si>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</si>
  <si>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</si>
  <si>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</si>
  <si>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</si>
  <si>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</si>
  <si>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</si>
  <si>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</si>
  <si>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</si>
  <si>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</si>
  <si>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</si>
  <si>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</si>
  <si>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</si>
  <si>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</si>
  <si>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</si>
  <si>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</si>
  <si>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</si>
  <si>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</si>
  <si>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</si>
  <si>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</si>
  <si>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</si>
  <si>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</si>
  <si>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</si>
  <si>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</si>
  <si>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</si>
  <si>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</si>
  <si>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</si>
  <si>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</si>
  <si>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</si>
  <si>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</si>
  <si>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</si>
  <si>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</si>
  <si>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</si>
  <si>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</si>
  <si>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</si>
  <si>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</si>
  <si>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</si>
  <si>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</si>
  <si>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</si>
  <si>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</si>
  <si>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</si>
  <si>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</si>
  <si>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</si>
  <si>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</si>
  <si>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</si>
  <si>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</si>
  <si>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</si>
  <si>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</si>
  <si>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</si>
  <si>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</si>
  <si>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</si>
  <si>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</si>
  <si>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</si>
  <si>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</si>
  <si>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</si>
  <si>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</si>
  <si>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</si>
  <si>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</si>
  <si>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</si>
  <si>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</si>
  <si>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</si>
  <si>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</si>
  <si>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</si>
  <si>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</si>
  <si>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</si>
  <si>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</si>
  <si>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</si>
  <si>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</si>
  <si>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</si>
  <si>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</si>
  <si>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</si>
  <si>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</si>
  <si>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</si>
  <si>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</si>
  <si>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</si>
  <si>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</si>
  <si>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</si>
  <si>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</si>
  <si>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</si>
  <si>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</si>
  <si>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</si>
  <si>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</si>
  <si>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</si>
  <si>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</si>
  <si>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</si>
  <si>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</si>
  <si>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</si>
  <si>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</si>
  <si>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</si>
  <si>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</si>
  <si>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</si>
  <si>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</si>
  <si>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</si>
  <si>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</si>
  <si>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</si>
  <si>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</si>
  <si>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</si>
  <si>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</si>
  <si>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</si>
  <si>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</si>
  <si>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</si>
  <si>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</si>
  <si>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</si>
  <si>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</si>
  <si>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</si>
  <si>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</si>
  <si>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</si>
  <si>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</si>
  <si>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</si>
  <si>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</si>
  <si>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</si>
  <si>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</si>
  <si>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</si>
  <si>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</si>
  <si>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</si>
  <si>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</si>
  <si>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</si>
  <si>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</si>
  <si>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</si>
  <si>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</si>
  <si>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</si>
  <si>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</si>
  <si>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</si>
  <si>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</si>
  <si>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</si>
  <si>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</si>
  <si>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</si>
  <si>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</si>
  <si>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</si>
  <si>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</si>
  <si>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</si>
  <si>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</si>
  <si>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</si>
  <si>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</si>
  <si>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</si>
  <si>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</si>
  <si>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</si>
  <si>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</si>
  <si>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</si>
  <si>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</si>
  <si>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</si>
  <si>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</si>
  <si>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</si>
  <si>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</si>
  <si>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</si>
  <si>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</si>
  <si>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</si>
  <si>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</si>
  <si>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</si>
  <si>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</si>
  <si>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</si>
  <si>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</si>
  <si>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</si>
  <si>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</si>
  <si>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</si>
  <si>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</si>
  <si>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</si>
  <si>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</si>
  <si>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</si>
  <si>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</si>
  <si>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</si>
  <si>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</si>
  <si>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</si>
  <si>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</si>
  <si>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</si>
  <si>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</si>
  <si>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</si>
  <si>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</si>
  <si>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</si>
  <si>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</si>
  <si>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</si>
  <si>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</si>
  <si>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</si>
  <si>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</si>
  <si>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</si>
  <si>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</si>
  <si>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</si>
  <si>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</si>
  <si>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</si>
  <si>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</si>
  <si>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</si>
  <si>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</si>
  <si>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</si>
  <si>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</si>
  <si>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</si>
  <si>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</si>
  <si>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</si>
  <si>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</si>
  <si>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</si>
  <si>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</si>
  <si>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</si>
  <si>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</si>
  <si>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</si>
  <si>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</si>
  <si>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</si>
  <si>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</si>
  <si>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</si>
  <si>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</si>
  <si>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</si>
  <si>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</si>
  <si>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</si>
  <si>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</si>
  <si>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</si>
  <si>
    <t>Thunderbolts*</t>
  </si>
  <si>
    <t>Lewis Pullman</t>
  </si>
  <si>
    <t>Julia Louis-Dreyfus</t>
  </si>
  <si>
    <t>Jake Schreier</t>
  </si>
  <si>
    <t>The Odyssey</t>
  </si>
  <si>
    <t>Robert Pattinson</t>
  </si>
  <si>
    <t>Creed II</t>
  </si>
  <si>
    <t>Steven Caple Jr.</t>
  </si>
  <si>
    <t>The Fantastic Four: First Steps</t>
  </si>
  <si>
    <t>Matt Shakman</t>
  </si>
  <si>
    <t>Ebon Moss-Bachrach</t>
  </si>
  <si>
    <t>The Grand Budapest Hotel</t>
  </si>
  <si>
    <t>Ralph Fiennes</t>
  </si>
  <si>
    <t>F. Murray Abraham</t>
  </si>
  <si>
    <t>Mathieu Amalric</t>
  </si>
  <si>
    <t>Adrien Brody</t>
  </si>
  <si>
    <t>Wes Anderson</t>
  </si>
  <si>
    <t>Creed III</t>
  </si>
  <si>
    <t>Jonathan Majors</t>
  </si>
  <si>
    <t>The Big Lebowski</t>
  </si>
  <si>
    <t>John Goodman</t>
  </si>
  <si>
    <t>Julianne Moore</t>
  </si>
  <si>
    <t>Elliot Page</t>
  </si>
  <si>
    <t>Cybill Shepherd</t>
  </si>
  <si>
    <t>Iman Vellani</t>
  </si>
  <si>
    <t>Corbin Bernsen</t>
  </si>
  <si>
    <t>The Warriors</t>
  </si>
  <si>
    <t>Michael Beck</t>
  </si>
  <si>
    <t>James Remar</t>
  </si>
  <si>
    <t>Dorsey Wright</t>
  </si>
  <si>
    <t>Walter Hill</t>
  </si>
  <si>
    <t>Brian Tyler</t>
  </si>
  <si>
    <t>Harold &amp; Kumar Go To White Castle</t>
  </si>
  <si>
    <t>Danny Leiner</t>
  </si>
  <si>
    <t>John Cho</t>
  </si>
  <si>
    <t>Kal Penn</t>
  </si>
  <si>
    <t>Paula Garces</t>
  </si>
  <si>
    <t>Neil Patrick Harris</t>
  </si>
  <si>
    <t>Argo</t>
  </si>
  <si>
    <t>Alan Arkin</t>
  </si>
  <si>
    <t>Knives Out</t>
  </si>
  <si>
    <t>Rian Johnson</t>
  </si>
  <si>
    <t>Toy Story</t>
  </si>
  <si>
    <t>Wallace Shawn</t>
  </si>
  <si>
    <t>Jim Varney</t>
  </si>
  <si>
    <t>Alexa, Aiden, Olivia</t>
  </si>
  <si>
    <t>O Brother, Where Art Thou?</t>
  </si>
  <si>
    <t>John Turtutto</t>
  </si>
  <si>
    <t>Tim Blake Nelson</t>
  </si>
  <si>
    <t>X-Men: First Class</t>
  </si>
  <si>
    <t>James McAvoy</t>
  </si>
  <si>
    <t>Michael Fassbender</t>
  </si>
  <si>
    <t>Jennifer Lawrence</t>
  </si>
  <si>
    <t>Matthew Vaughn</t>
  </si>
  <si>
    <t>X-Men: Days of Future Past</t>
  </si>
  <si>
    <t>Fargo</t>
  </si>
  <si>
    <t>William H. Macy</t>
  </si>
  <si>
    <t>Frances McDormand</t>
  </si>
  <si>
    <t>The Prestige</t>
  </si>
  <si>
    <t>Michael Caine</t>
  </si>
  <si>
    <t>Spider-Man: Brand New Day</t>
  </si>
  <si>
    <t>Mom, Alexa, Dad, Aiden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</si>
</sst>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98"/>
  <sheetViews>
    <sheetView zoomScaleNormal="100" workbookViewId="0">
      <pane xSplit="3" ySplit="1" topLeftCell="D2" activePane="bottomRight" state="frozen"/>
      <selection pane="topRight" activeCell="D1" sqref="D1"/>
      <selection pane="bottomLeft" activeCell="A2" sqref="A2"/>
      <selection pane="bottomRight" activeCell="E282" sqref="E282"/>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22.710937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663</v>
      </c>
      <c r="K1" s="3" t="s">
        <v>664</v>
      </c>
      <c r="L1" s="3" t="s">
        <v>665</v>
      </c>
      <c r="M1" s="19" t="s">
        <v>366</v>
      </c>
      <c r="N1" s="19" t="s">
        <v>383</v>
      </c>
      <c r="O1" s="19" t="s">
        <v>906</v>
      </c>
      <c r="P1" s="3" t="s">
        <v>385</v>
      </c>
      <c r="Q1" s="3" t="s">
        <v>384</v>
      </c>
      <c r="R1" s="3" t="s">
        <v>1093</v>
      </c>
      <c r="S1" s="3" t="s">
        <v>908</v>
      </c>
      <c r="T1" s="3" t="s">
        <v>909</v>
      </c>
      <c r="U1" s="3" t="s">
        <v>699</v>
      </c>
      <c r="V1" s="3" t="s">
        <v>981</v>
      </c>
      <c r="W1" s="3" t="s">
        <v>838</v>
      </c>
      <c r="X1" s="3" t="s">
        <v>757</v>
      </c>
      <c r="Y1" s="3" t="s">
        <v>910</v>
      </c>
      <c r="Z1" s="3" t="s">
        <v>901</v>
      </c>
      <c r="AA1" s="3" t="s">
        <v>989</v>
      </c>
      <c r="AB1" s="3" t="s">
        <v>994</v>
      </c>
      <c r="AC1" s="22" t="s">
        <v>2</v>
      </c>
      <c r="AD1" t="s">
        <v>562</v>
      </c>
    </row>
    <row r="2" spans="1:30" x14ac:dyDescent="0.25">
      <c r="A2" s="4">
        <v>1</v>
      </c>
      <c r="B2" s="4" t="s">
        <v>230</v>
      </c>
      <c r="C2" s="28">
        <v>9.8010000000000002</v>
      </c>
      <c r="D2" s="4">
        <v>1994</v>
      </c>
      <c r="E2" s="5" t="s">
        <v>231</v>
      </c>
      <c r="F2" s="10" t="s">
        <v>51</v>
      </c>
      <c r="G2" s="10" t="s">
        <v>386</v>
      </c>
      <c r="H2" s="10" t="s">
        <v>232</v>
      </c>
      <c r="I2" s="10" t="s">
        <v>233</v>
      </c>
      <c r="J2" s="10" t="s">
        <v>209</v>
      </c>
      <c r="K2" s="10" t="s">
        <v>217</v>
      </c>
      <c r="L2" s="10" t="s">
        <v>671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758</v>
      </c>
      <c r="X2">
        <v>142</v>
      </c>
      <c r="Y2" t="s">
        <v>911</v>
      </c>
      <c r="Z2" t="s">
        <v>907</v>
      </c>
      <c r="AA2" s="25"/>
    </row>
    <row r="3" spans="1:30" x14ac:dyDescent="0.25">
      <c r="A3" s="4">
        <v>2</v>
      </c>
      <c r="B3" s="4" t="s">
        <v>18</v>
      </c>
      <c r="C3" s="28">
        <v>9.7029999999999994</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758</v>
      </c>
      <c r="X3">
        <v>126</v>
      </c>
      <c r="Y3" t="s">
        <v>911</v>
      </c>
      <c r="Z3" t="s">
        <v>907</v>
      </c>
      <c r="AA3" s="25"/>
      <c r="AC3" s="22" t="s">
        <v>560</v>
      </c>
    </row>
    <row r="4" spans="1:30" x14ac:dyDescent="0.25">
      <c r="A4" s="4">
        <v>3</v>
      </c>
      <c r="B4" s="4" t="s">
        <v>1280</v>
      </c>
      <c r="C4" s="28">
        <v>9.702</v>
      </c>
      <c r="D4" s="4">
        <v>2026</v>
      </c>
      <c r="E4" s="10" t="s">
        <v>19</v>
      </c>
      <c r="F4" s="10" t="s">
        <v>957</v>
      </c>
      <c r="G4" s="10" t="s">
        <v>352</v>
      </c>
      <c r="H4" s="10" t="s">
        <v>1281</v>
      </c>
      <c r="I4" s="10" t="s">
        <v>38</v>
      </c>
      <c r="J4" s="10" t="s">
        <v>208</v>
      </c>
      <c r="K4" s="10" t="s">
        <v>222</v>
      </c>
      <c r="L4" s="10" t="s">
        <v>851</v>
      </c>
      <c r="M4" s="4">
        <v>8.5</v>
      </c>
      <c r="N4" s="4">
        <v>95</v>
      </c>
      <c r="O4" s="4">
        <v>4.4000000000000004</v>
      </c>
      <c r="P4" s="20">
        <f>(M4+(N4/10)+(O4*2))/3</f>
        <v>8.9333333333333336</v>
      </c>
      <c r="Q4" s="20">
        <f>(M4+C4+(N4/10)+(O4*2))/4</f>
        <v>9.1254999999999988</v>
      </c>
      <c r="R4" s="20">
        <f>(M4+C4+(N4/10))/3</f>
        <v>9.234</v>
      </c>
      <c r="S4" s="27">
        <f>IF(C4 &gt; 9.25, 10, IF(C4 &gt; 6.75, ROUND(C4, 0), MAX(1, FLOOR(C4, 1))))</f>
        <v>10</v>
      </c>
      <c r="T4" s="20">
        <f>S4/2</f>
        <v>5</v>
      </c>
      <c r="U4" s="25">
        <v>46221</v>
      </c>
      <c r="V4">
        <v>1</v>
      </c>
      <c r="W4" s="25" t="s">
        <v>758</v>
      </c>
      <c r="X4">
        <v>173</v>
      </c>
      <c r="Y4" t="s">
        <v>922</v>
      </c>
      <c r="Z4" t="s">
        <v>902</v>
      </c>
      <c r="AC4" s="10">
        <v>3</v>
      </c>
    </row>
    <row r="5" spans="1:30" x14ac:dyDescent="0.25">
      <c r="A5" s="4">
        <v>4</v>
      </c>
      <c r="B5" s="4" t="s">
        <v>8</v>
      </c>
      <c r="C5" s="28">
        <v>9.6039999999999992</v>
      </c>
      <c r="D5" s="4">
        <v>2022</v>
      </c>
      <c r="E5" s="5" t="s">
        <v>9</v>
      </c>
      <c r="F5" s="5" t="s">
        <v>27</v>
      </c>
      <c r="G5" s="5" t="s">
        <v>387</v>
      </c>
      <c r="H5" s="5" t="s">
        <v>1173</v>
      </c>
      <c r="I5" s="5" t="s">
        <v>1207</v>
      </c>
      <c r="J5" s="5" t="s">
        <v>208</v>
      </c>
      <c r="K5" s="5" t="s">
        <v>209</v>
      </c>
      <c r="L5" s="5" t="s">
        <v>217</v>
      </c>
      <c r="M5" s="4">
        <v>8.1999999999999993</v>
      </c>
      <c r="N5" s="4">
        <v>96</v>
      </c>
      <c r="O5" s="4">
        <v>4</v>
      </c>
      <c r="P5" s="20">
        <f>(M5+(N5/10)+(O5*2))/3</f>
        <v>8.6</v>
      </c>
      <c r="Q5" s="20">
        <f>(M5+C5+(N5/10)+(O5*2))/4</f>
        <v>8.8509999999999991</v>
      </c>
      <c r="R5" s="20">
        <f>(M5+C5+(N5/10))/3</f>
        <v>9.134666666666666</v>
      </c>
      <c r="S5" s="27">
        <f>IF(C5 &gt; 9.25, 10, IF(C5 &gt; 6.75, ROUND(C5, 0), MAX(1, FLOOR(C5, 1))))</f>
        <v>10</v>
      </c>
      <c r="T5" s="20">
        <f>S5/2</f>
        <v>5</v>
      </c>
      <c r="U5" s="25">
        <v>46076</v>
      </c>
      <c r="V5">
        <v>4</v>
      </c>
      <c r="W5" s="25" t="s">
        <v>758</v>
      </c>
      <c r="X5">
        <v>130</v>
      </c>
      <c r="Y5" t="s">
        <v>922</v>
      </c>
      <c r="Z5" t="s">
        <v>914</v>
      </c>
      <c r="AA5" s="25" t="s">
        <v>7</v>
      </c>
      <c r="AB5">
        <v>2</v>
      </c>
      <c r="AC5" s="23">
        <v>9.6029999999999998</v>
      </c>
    </row>
    <row r="6" spans="1:30" x14ac:dyDescent="0.25">
      <c r="A6" s="4">
        <v>5</v>
      </c>
      <c r="B6" s="4" t="s">
        <v>512</v>
      </c>
      <c r="C6" s="28">
        <v>9.6029999999999998</v>
      </c>
      <c r="D6" s="4">
        <v>2011</v>
      </c>
      <c r="E6" s="5" t="s">
        <v>52</v>
      </c>
      <c r="F6" s="10" t="s">
        <v>13</v>
      </c>
      <c r="G6" s="10" t="s">
        <v>513</v>
      </c>
      <c r="H6" s="10" t="s">
        <v>1179</v>
      </c>
      <c r="I6" s="10" t="s">
        <v>514</v>
      </c>
      <c r="J6" s="10" t="s">
        <v>210</v>
      </c>
      <c r="K6" s="10" t="s">
        <v>209</v>
      </c>
      <c r="L6" s="10" t="s">
        <v>220</v>
      </c>
      <c r="M6" s="4">
        <v>7.6</v>
      </c>
      <c r="N6" s="4">
        <v>94</v>
      </c>
      <c r="O6" s="4">
        <v>3.9</v>
      </c>
      <c r="P6" s="20">
        <f>(M6+(N6/10)+(O6*2))/3</f>
        <v>8.2666666666666675</v>
      </c>
      <c r="Q6" s="20">
        <f>(M6+C6+(N6/10)+(O6*2))/4</f>
        <v>8.6007499999999997</v>
      </c>
      <c r="R6" s="20">
        <f>(M6+C6+(N6/10))/3</f>
        <v>8.8676666666666666</v>
      </c>
      <c r="S6" s="27">
        <f>IF(C6 &gt; 9.25, 10, IF(C6 &gt; 6.75, ROUND(C6, 0), MAX(1, FLOOR(C6, 1))))</f>
        <v>10</v>
      </c>
      <c r="T6" s="20">
        <f>S6/2</f>
        <v>5</v>
      </c>
      <c r="U6" s="25">
        <v>45784</v>
      </c>
      <c r="V6">
        <v>3</v>
      </c>
      <c r="W6" s="25" t="s">
        <v>758</v>
      </c>
      <c r="X6">
        <v>133</v>
      </c>
      <c r="Y6" t="s">
        <v>911</v>
      </c>
      <c r="Z6" t="s">
        <v>907</v>
      </c>
      <c r="AA6" s="25"/>
      <c r="AC6" s="24" t="s">
        <v>8</v>
      </c>
    </row>
    <row r="7" spans="1:30" x14ac:dyDescent="0.25">
      <c r="A7" s="4">
        <v>6</v>
      </c>
      <c r="B7" s="4" t="s">
        <v>239</v>
      </c>
      <c r="C7" s="28">
        <v>9.6020000000000003</v>
      </c>
      <c r="D7" s="4">
        <v>2004</v>
      </c>
      <c r="E7" s="5" t="s">
        <v>129</v>
      </c>
      <c r="F7" s="10" t="s">
        <v>240</v>
      </c>
      <c r="G7" s="10" t="s">
        <v>241</v>
      </c>
      <c r="H7" s="10" t="s">
        <v>242</v>
      </c>
      <c r="I7" s="10" t="s">
        <v>1018</v>
      </c>
      <c r="J7" s="10" t="s">
        <v>210</v>
      </c>
      <c r="K7" s="10" t="s">
        <v>220</v>
      </c>
      <c r="L7" s="10" t="s">
        <v>209</v>
      </c>
      <c r="M7" s="4">
        <v>7.5</v>
      </c>
      <c r="N7" s="4">
        <v>81</v>
      </c>
      <c r="O7" s="4">
        <v>3.8</v>
      </c>
      <c r="P7" s="20">
        <f>(M7+(N7/10)+(O7*2))/3</f>
        <v>7.7333333333333334</v>
      </c>
      <c r="Q7" s="20">
        <f>(M7+C7+(N7/10)+(O7*2))/4</f>
        <v>8.2004999999999999</v>
      </c>
      <c r="R7" s="20">
        <f>(M7+C7+(N7/10))/3</f>
        <v>8.4006666666666661</v>
      </c>
      <c r="S7" s="27">
        <f>IF(C7 &gt; 9.25, 10, IF(C7 &gt; 6.75, ROUND(C7, 0), MAX(1, FLOOR(C7, 1))))</f>
        <v>10</v>
      </c>
      <c r="T7" s="20">
        <f>S7/2</f>
        <v>5</v>
      </c>
      <c r="U7" s="25">
        <v>46064</v>
      </c>
      <c r="V7">
        <v>4</v>
      </c>
      <c r="W7" s="25" t="s">
        <v>758</v>
      </c>
      <c r="X7">
        <v>135</v>
      </c>
      <c r="Y7" t="s">
        <v>916</v>
      </c>
      <c r="Z7" t="s">
        <v>914</v>
      </c>
      <c r="AA7" s="25"/>
      <c r="AC7" s="10">
        <v>16</v>
      </c>
    </row>
    <row r="8" spans="1:30" x14ac:dyDescent="0.25">
      <c r="A8" s="4">
        <v>7</v>
      </c>
      <c r="B8" s="4" t="s">
        <v>1024</v>
      </c>
      <c r="C8" s="28">
        <v>9.6010000000000009</v>
      </c>
      <c r="D8" s="4">
        <v>2006</v>
      </c>
      <c r="E8" s="10" t="s">
        <v>158</v>
      </c>
      <c r="F8" s="10" t="s">
        <v>1026</v>
      </c>
      <c r="G8" s="10" t="s">
        <v>1027</v>
      </c>
      <c r="H8" s="10" t="s">
        <v>450</v>
      </c>
      <c r="I8" s="10" t="s">
        <v>1025</v>
      </c>
      <c r="J8" s="10" t="s">
        <v>648</v>
      </c>
      <c r="K8" s="10" t="s">
        <v>224</v>
      </c>
      <c r="L8" s="10" t="s">
        <v>225</v>
      </c>
      <c r="M8" s="4">
        <v>7.3</v>
      </c>
      <c r="N8" s="4">
        <v>74</v>
      </c>
      <c r="O8" s="4">
        <v>3.9</v>
      </c>
      <c r="P8" s="20">
        <f>(M8+(N8/10)+(O8*2))/3</f>
        <v>7.5</v>
      </c>
      <c r="Q8" s="20">
        <f>(M8+C8+(N8/10)+(O8*2))/4</f>
        <v>8.0252499999999998</v>
      </c>
      <c r="R8" s="20">
        <f>(M8+C8+(N8/10))/3</f>
        <v>8.1003333333333334</v>
      </c>
      <c r="S8" s="27">
        <f>IF(C8 &gt; 9.25, 10, IF(C8 &gt; 6.75, ROUND(C8, 0), MAX(1, FLOOR(C8, 1))))</f>
        <v>10</v>
      </c>
      <c r="T8" s="20">
        <f>S8/2</f>
        <v>5</v>
      </c>
      <c r="U8" s="25">
        <v>46087</v>
      </c>
      <c r="V8">
        <v>1</v>
      </c>
      <c r="W8" s="25" t="s">
        <v>758</v>
      </c>
      <c r="X8">
        <v>117</v>
      </c>
      <c r="Y8" t="s">
        <v>922</v>
      </c>
      <c r="Z8" t="s">
        <v>914</v>
      </c>
      <c r="AC8" s="23">
        <v>9.202</v>
      </c>
    </row>
    <row r="9" spans="1:30" x14ac:dyDescent="0.25">
      <c r="A9" s="4">
        <v>8</v>
      </c>
      <c r="B9" s="4" t="s">
        <v>1334</v>
      </c>
      <c r="C9" s="28">
        <v>9.5050000000000008</v>
      </c>
      <c r="D9" s="4">
        <v>2006</v>
      </c>
      <c r="E9" s="10" t="s">
        <v>1241</v>
      </c>
      <c r="F9" s="10" t="s">
        <v>126</v>
      </c>
      <c r="G9" s="10" t="s">
        <v>1335</v>
      </c>
      <c r="H9" s="10" t="s">
        <v>1002</v>
      </c>
      <c r="I9" s="10" t="s">
        <v>38</v>
      </c>
      <c r="J9" s="10" t="s">
        <v>223</v>
      </c>
      <c r="K9" s="10" t="s">
        <v>209</v>
      </c>
      <c r="L9" s="10" t="s">
        <v>216</v>
      </c>
      <c r="M9" s="4">
        <v>8.5</v>
      </c>
      <c r="N9" s="4">
        <v>77</v>
      </c>
      <c r="O9" s="4">
        <v>4.3</v>
      </c>
      <c r="P9" s="20">
        <f>(M9+(N9/10)+(O9*2))/3</f>
        <v>8.2666666666666657</v>
      </c>
      <c r="Q9" s="20">
        <f>(M9+C9+(N9/10)+(O9*2))/4</f>
        <v>8.5762499999999999</v>
      </c>
      <c r="R9" s="20">
        <f>(M9+C9+(N9/10))/3</f>
        <v>8.5683333333333334</v>
      </c>
      <c r="S9" s="27">
        <f>IF(C9 &gt; 9.25, 10, IF(C9 &gt; 6.75, ROUND(C9, 0), MAX(1, FLOOR(C9, 1))))</f>
        <v>10</v>
      </c>
      <c r="T9" s="20">
        <f>S9/2</f>
        <v>5</v>
      </c>
      <c r="U9" s="25">
        <v>46246</v>
      </c>
      <c r="V9">
        <v>1</v>
      </c>
      <c r="W9" s="25" t="s">
        <v>758</v>
      </c>
      <c r="X9">
        <v>130</v>
      </c>
      <c r="Y9" t="s">
        <v>911</v>
      </c>
      <c r="Z9" t="s">
        <v>907</v>
      </c>
      <c r="AC9" s="24" t="s">
        <v>711</v>
      </c>
    </row>
    <row r="10" spans="1:30" x14ac:dyDescent="0.25">
      <c r="A10" s="4">
        <v>9</v>
      </c>
      <c r="B10" s="4" t="s">
        <v>22</v>
      </c>
      <c r="C10" s="28">
        <v>9.5039999999999996</v>
      </c>
      <c r="D10" s="4">
        <v>2006</v>
      </c>
      <c r="E10" s="5" t="s">
        <v>12</v>
      </c>
      <c r="F10" s="5" t="s">
        <v>19</v>
      </c>
      <c r="G10" s="5" t="s">
        <v>24</v>
      </c>
      <c r="H10" s="5" t="s">
        <v>23</v>
      </c>
      <c r="I10" s="5" t="s">
        <v>35</v>
      </c>
      <c r="J10" s="5" t="s">
        <v>215</v>
      </c>
      <c r="K10" s="5" t="s">
        <v>209</v>
      </c>
      <c r="L10" s="5" t="s">
        <v>217</v>
      </c>
      <c r="M10" s="4">
        <v>8.5</v>
      </c>
      <c r="N10" s="4">
        <v>91</v>
      </c>
      <c r="O10" s="4">
        <v>4.3</v>
      </c>
      <c r="P10" s="20">
        <f>(M10+(N10/10)+(O10*2))/3</f>
        <v>8.7333333333333343</v>
      </c>
      <c r="Q10" s="20">
        <f>(M10+C10+(N10/10)+(O10*2))/4</f>
        <v>8.9260000000000002</v>
      </c>
      <c r="R10" s="20">
        <f>(M10+C10+(N10/10))/3</f>
        <v>9.0346666666666664</v>
      </c>
      <c r="S10" s="27">
        <f>IF(C10 &gt; 9.25, 10, IF(C10 &gt; 6.75, ROUND(C10, 0), MAX(1, FLOOR(C10, 1))))</f>
        <v>10</v>
      </c>
      <c r="T10" s="20">
        <f>S10/2</f>
        <v>5</v>
      </c>
      <c r="U10" s="25">
        <v>45890</v>
      </c>
      <c r="V10">
        <v>2</v>
      </c>
      <c r="W10" s="25" t="s">
        <v>758</v>
      </c>
      <c r="X10">
        <v>151</v>
      </c>
      <c r="Y10" t="s">
        <v>911</v>
      </c>
      <c r="Z10" t="s">
        <v>907</v>
      </c>
      <c r="AA10" s="25"/>
      <c r="AC10" s="10">
        <v>30</v>
      </c>
    </row>
    <row r="11" spans="1:30" x14ac:dyDescent="0.25">
      <c r="A11" s="4">
        <v>10</v>
      </c>
      <c r="B11" s="4" t="s">
        <v>29</v>
      </c>
      <c r="C11" s="28">
        <v>9.5030000000000001</v>
      </c>
      <c r="D11" s="4">
        <v>1990</v>
      </c>
      <c r="E11" s="5" t="s">
        <v>30</v>
      </c>
      <c r="F11" s="5" t="s">
        <v>31</v>
      </c>
      <c r="G11" s="5" t="s">
        <v>32</v>
      </c>
      <c r="H11" s="5" t="s">
        <v>252</v>
      </c>
      <c r="I11" s="5" t="s">
        <v>35</v>
      </c>
      <c r="J11" s="5" t="s">
        <v>215</v>
      </c>
      <c r="K11" s="5" t="s">
        <v>209</v>
      </c>
      <c r="L11" s="5" t="s">
        <v>672</v>
      </c>
      <c r="M11" s="4">
        <v>8.6999999999999993</v>
      </c>
      <c r="N11" s="4">
        <v>96</v>
      </c>
      <c r="O11" s="4">
        <v>4.5</v>
      </c>
      <c r="P11" s="20">
        <f>(M11+(N11/10)+(O11*2))/3</f>
        <v>9.1</v>
      </c>
      <c r="Q11" s="20">
        <f>(M11+C11+(N11/10)+(O11*2))/4</f>
        <v>9.2007499999999993</v>
      </c>
      <c r="R11" s="20">
        <f>(M11+C11+(N11/10))/3</f>
        <v>9.2676666666666652</v>
      </c>
      <c r="S11" s="27">
        <f>IF(C11 &gt; 9.25, 10, IF(C11 &gt; 6.75, ROUND(C11, 0), MAX(1, FLOOR(C11, 1))))</f>
        <v>10</v>
      </c>
      <c r="T11" s="20">
        <f>S11/2</f>
        <v>5</v>
      </c>
      <c r="U11" s="25">
        <v>45897</v>
      </c>
      <c r="V11">
        <v>2</v>
      </c>
      <c r="W11" s="25" t="s">
        <v>758</v>
      </c>
      <c r="X11">
        <v>145</v>
      </c>
      <c r="Y11" t="s">
        <v>911</v>
      </c>
      <c r="Z11" t="s">
        <v>825</v>
      </c>
      <c r="AA11" s="25"/>
      <c r="AC11" s="23">
        <v>8.8030000000000008</v>
      </c>
    </row>
    <row r="12" spans="1:30" x14ac:dyDescent="0.25">
      <c r="A12" s="4">
        <v>11</v>
      </c>
      <c r="B12" s="4" t="s">
        <v>351</v>
      </c>
      <c r="C12" s="28">
        <v>9.5020000000000007</v>
      </c>
      <c r="D12" s="4">
        <v>2014</v>
      </c>
      <c r="E12" s="10" t="s">
        <v>15</v>
      </c>
      <c r="F12" s="10" t="s">
        <v>352</v>
      </c>
      <c r="G12" s="10" t="s">
        <v>66</v>
      </c>
      <c r="H12" s="10" t="s">
        <v>19</v>
      </c>
      <c r="I12" s="10" t="s">
        <v>38</v>
      </c>
      <c r="J12" t="s">
        <v>223</v>
      </c>
      <c r="K12" t="s">
        <v>209</v>
      </c>
      <c r="L12" s="10" t="s">
        <v>222</v>
      </c>
      <c r="M12" s="4">
        <v>8.6999999999999993</v>
      </c>
      <c r="N12" s="4">
        <v>72</v>
      </c>
      <c r="O12" s="4">
        <v>4.4000000000000004</v>
      </c>
      <c r="P12" s="20">
        <f>(M12+(N12/10)+(O12*2))/3</f>
        <v>8.2333333333333325</v>
      </c>
      <c r="Q12" s="20">
        <f>(M12+C12+(N12/10)+(O12*2))/4</f>
        <v>8.5504999999999995</v>
      </c>
      <c r="R12" s="20">
        <f>(M12+C12+(N12/10))/3</f>
        <v>8.4673333333333325</v>
      </c>
      <c r="S12" s="27">
        <f>IF(C12 &gt; 9.25, 10, IF(C12 &gt; 6.75, ROUND(C12, 0), MAX(1, FLOOR(C12, 1))))</f>
        <v>10</v>
      </c>
      <c r="T12" s="20">
        <f>S12/2</f>
        <v>5</v>
      </c>
      <c r="U12" s="25">
        <v>45118</v>
      </c>
      <c r="V12">
        <v>1</v>
      </c>
      <c r="W12" s="25" t="s">
        <v>758</v>
      </c>
      <c r="X12">
        <v>169</v>
      </c>
      <c r="Y12" t="s">
        <v>911</v>
      </c>
      <c r="Z12" t="s">
        <v>825</v>
      </c>
      <c r="AA12" s="25"/>
      <c r="AC12" s="24" t="s">
        <v>980</v>
      </c>
    </row>
    <row r="13" spans="1:30" x14ac:dyDescent="0.25">
      <c r="A13" s="4">
        <v>12</v>
      </c>
      <c r="B13" s="4" t="s">
        <v>405</v>
      </c>
      <c r="C13" s="28">
        <v>9.5009999999999994</v>
      </c>
      <c r="D13" s="4">
        <v>2014</v>
      </c>
      <c r="E13" s="10" t="s">
        <v>151</v>
      </c>
      <c r="F13" s="10" t="s">
        <v>406</v>
      </c>
      <c r="G13" s="10" t="s">
        <v>407</v>
      </c>
      <c r="H13" s="10" t="s">
        <v>408</v>
      </c>
      <c r="I13" s="10" t="s">
        <v>409</v>
      </c>
      <c r="J13" s="10" t="s">
        <v>226</v>
      </c>
      <c r="K13" s="5" t="s">
        <v>208</v>
      </c>
      <c r="L13" s="10" t="s">
        <v>220</v>
      </c>
      <c r="M13" s="4">
        <v>7.3</v>
      </c>
      <c r="N13" s="4">
        <v>72</v>
      </c>
      <c r="O13" s="4">
        <v>3.4</v>
      </c>
      <c r="P13" s="20">
        <f>(M13+(N13/10)+(O13*2))/3</f>
        <v>7.1000000000000005</v>
      </c>
      <c r="Q13" s="20">
        <f>(M13+C13+(N13/10)+(O13*2))/4</f>
        <v>7.7002499999999996</v>
      </c>
      <c r="R13" s="20">
        <f>(M13+C13+(N13/10))/3</f>
        <v>8.000333333333332</v>
      </c>
      <c r="S13" s="27">
        <f>IF(C13 &gt; 9.25, 10, IF(C13 &gt; 6.75, ROUND(C13, 0), MAX(1, FLOOR(C13, 1))))</f>
        <v>10</v>
      </c>
      <c r="T13" s="20">
        <f>S13/2</f>
        <v>5</v>
      </c>
      <c r="U13" s="25">
        <v>46207</v>
      </c>
      <c r="V13">
        <v>3</v>
      </c>
      <c r="W13" s="25" t="s">
        <v>758</v>
      </c>
      <c r="X13">
        <v>133</v>
      </c>
      <c r="Y13" t="s">
        <v>911</v>
      </c>
      <c r="Z13" t="s">
        <v>914</v>
      </c>
      <c r="AA13" s="25"/>
      <c r="AC13" s="10">
        <v>37</v>
      </c>
    </row>
    <row r="14" spans="1:30" x14ac:dyDescent="0.25">
      <c r="A14" s="4">
        <v>13</v>
      </c>
      <c r="B14" s="4" t="s">
        <v>1110</v>
      </c>
      <c r="C14" s="28">
        <v>9.4039999999999999</v>
      </c>
      <c r="D14" s="4">
        <v>2002</v>
      </c>
      <c r="E14" s="10" t="s">
        <v>63</v>
      </c>
      <c r="F14" s="10" t="s">
        <v>450</v>
      </c>
      <c r="G14" s="10" t="s">
        <v>77</v>
      </c>
      <c r="H14" s="10" t="s">
        <v>772</v>
      </c>
      <c r="I14" s="10" t="s">
        <v>456</v>
      </c>
      <c r="J14" s="10" t="s">
        <v>215</v>
      </c>
      <c r="K14" s="10" t="s">
        <v>209</v>
      </c>
      <c r="L14" s="10" t="s">
        <v>672</v>
      </c>
      <c r="M14" s="4">
        <v>7.6</v>
      </c>
      <c r="N14" s="4">
        <v>82</v>
      </c>
      <c r="O14" s="4">
        <v>3.8</v>
      </c>
      <c r="P14" s="20">
        <f>(M14+(N14/10)+(O14*2))/3</f>
        <v>7.8</v>
      </c>
      <c r="Q14" s="20">
        <f>(M14+C14+(N14/10)+(O14*2))/4</f>
        <v>8.2009999999999987</v>
      </c>
      <c r="R14" s="20">
        <f>(M14+C14+(N14/10))/3</f>
        <v>8.4013333333333318</v>
      </c>
      <c r="S14" s="27">
        <f>IF(C14 &gt; 9.25, 10, IF(C14 &gt; 6.75, ROUND(C14, 0), MAX(1, FLOOR(C14, 1))))</f>
        <v>10</v>
      </c>
      <c r="T14" s="20">
        <f>S14/2</f>
        <v>5</v>
      </c>
      <c r="U14" s="25">
        <v>46161</v>
      </c>
      <c r="V14">
        <v>1</v>
      </c>
      <c r="W14" s="25" t="s">
        <v>758</v>
      </c>
      <c r="X14">
        <v>117</v>
      </c>
      <c r="Y14" t="s">
        <v>911</v>
      </c>
      <c r="Z14" t="s">
        <v>907</v>
      </c>
      <c r="AC14" s="23">
        <v>8.6029999999999998</v>
      </c>
    </row>
    <row r="15" spans="1:30" x14ac:dyDescent="0.25">
      <c r="A15" s="4">
        <v>14</v>
      </c>
      <c r="B15" s="4" t="s">
        <v>156</v>
      </c>
      <c r="C15" s="28">
        <v>9.4030000000000005</v>
      </c>
      <c r="D15" s="4">
        <v>2005</v>
      </c>
      <c r="E15" s="10" t="s">
        <v>158</v>
      </c>
      <c r="F15" s="10" t="s">
        <v>91</v>
      </c>
      <c r="G15" s="10" t="s">
        <v>272</v>
      </c>
      <c r="H15" s="10" t="s">
        <v>1176</v>
      </c>
      <c r="I15" s="10" t="s">
        <v>159</v>
      </c>
      <c r="J15" s="5" t="s">
        <v>219</v>
      </c>
      <c r="K15" s="5"/>
      <c r="L15" s="5"/>
      <c r="M15" s="4">
        <v>7</v>
      </c>
      <c r="N15" s="4">
        <v>76</v>
      </c>
      <c r="O15" s="4">
        <v>3.2</v>
      </c>
      <c r="P15" s="20">
        <f>(M15+(N15/10)+(O15*2))/3</f>
        <v>7</v>
      </c>
      <c r="Q15" s="20">
        <f>(M15+C15+(N15/10)+(O15*2))/4</f>
        <v>7.6007499999999997</v>
      </c>
      <c r="R15" s="20">
        <f>(M15+C15+(N15/10))/3</f>
        <v>8.0009999999999994</v>
      </c>
      <c r="S15" s="27">
        <f>IF(C15 &gt; 9.25, 10, IF(C15 &gt; 6.75, ROUND(C15, 0), MAX(1, FLOOR(C15, 1))))</f>
        <v>10</v>
      </c>
      <c r="T15" s="20">
        <f>S15/2</f>
        <v>5</v>
      </c>
      <c r="U15" s="25">
        <v>45765</v>
      </c>
      <c r="V15">
        <v>2</v>
      </c>
      <c r="W15" s="25" t="s">
        <v>758</v>
      </c>
      <c r="X15">
        <v>119</v>
      </c>
      <c r="Y15" t="s">
        <v>911</v>
      </c>
      <c r="Z15" t="s">
        <v>825</v>
      </c>
      <c r="AA15" s="25"/>
      <c r="AC15" s="24" t="s">
        <v>846</v>
      </c>
    </row>
    <row r="16" spans="1:30" x14ac:dyDescent="0.25">
      <c r="A16" s="4">
        <v>15</v>
      </c>
      <c r="B16" s="4" t="s">
        <v>11</v>
      </c>
      <c r="C16" s="28">
        <v>9.4019999999999992</v>
      </c>
      <c r="D16" s="4">
        <v>2013</v>
      </c>
      <c r="E16" s="5" t="s">
        <v>12</v>
      </c>
      <c r="F16" s="5" t="s">
        <v>248</v>
      </c>
      <c r="G16" s="5" t="s">
        <v>15</v>
      </c>
      <c r="H16" s="5" t="s">
        <v>13</v>
      </c>
      <c r="I16" s="5" t="s">
        <v>35</v>
      </c>
      <c r="J16" s="5" t="s">
        <v>215</v>
      </c>
      <c r="K16" s="5" t="s">
        <v>219</v>
      </c>
      <c r="L16" s="5" t="s">
        <v>209</v>
      </c>
      <c r="M16" s="4">
        <v>8.1999999999999993</v>
      </c>
      <c r="N16" s="4">
        <v>80</v>
      </c>
      <c r="O16" s="4">
        <v>4</v>
      </c>
      <c r="P16" s="20">
        <f>(M16+(N16/10)+(O16*2))/3</f>
        <v>8.0666666666666664</v>
      </c>
      <c r="Q16" s="20">
        <f>(M16+C16+(N16/10)+(O16*2))/4</f>
        <v>8.4004999999999992</v>
      </c>
      <c r="R16" s="20">
        <f>(M16+C16+(N16/10))/3</f>
        <v>8.5339999999999989</v>
      </c>
      <c r="S16" s="27">
        <f>IF(C16 &gt; 9.25, 10, IF(C16 &gt; 6.75, ROUND(C16, 0), MAX(1, FLOOR(C16, 1))))</f>
        <v>10</v>
      </c>
      <c r="T16" s="20">
        <f>S16/2</f>
        <v>5</v>
      </c>
      <c r="U16" s="25">
        <v>45114</v>
      </c>
      <c r="V16">
        <v>2</v>
      </c>
      <c r="W16" s="25" t="s">
        <v>758</v>
      </c>
      <c r="X16">
        <v>180</v>
      </c>
      <c r="Y16" t="s">
        <v>911</v>
      </c>
      <c r="Z16" t="s">
        <v>825</v>
      </c>
      <c r="AA16" s="25"/>
      <c r="AC16" s="10">
        <v>45</v>
      </c>
    </row>
    <row r="17" spans="1:29" x14ac:dyDescent="0.25">
      <c r="A17" s="4">
        <v>16</v>
      </c>
      <c r="B17" s="4" t="s">
        <v>666</v>
      </c>
      <c r="C17" s="28">
        <v>9.4009999999999998</v>
      </c>
      <c r="D17" s="4">
        <v>2014</v>
      </c>
      <c r="E17" s="10" t="s">
        <v>52</v>
      </c>
      <c r="F17" s="10" t="s">
        <v>667</v>
      </c>
      <c r="G17" s="10" t="s">
        <v>668</v>
      </c>
      <c r="H17" s="10" t="s">
        <v>402</v>
      </c>
      <c r="I17" s="10" t="s">
        <v>669</v>
      </c>
      <c r="J17" s="10" t="s">
        <v>226</v>
      </c>
      <c r="K17" s="10" t="s">
        <v>208</v>
      </c>
      <c r="L17" s="10" t="s">
        <v>209</v>
      </c>
      <c r="M17" s="4">
        <v>7.8</v>
      </c>
      <c r="N17" s="4">
        <v>100</v>
      </c>
      <c r="O17" s="4">
        <v>3.8</v>
      </c>
      <c r="P17" s="20">
        <f>(M17+(N17/10)+(O17*2))/3</f>
        <v>8.4666666666666668</v>
      </c>
      <c r="Q17" s="20">
        <f>(M17+C17+(N17/10)+(O17*2))/4</f>
        <v>8.7002500000000005</v>
      </c>
      <c r="R17" s="20">
        <f>(M17+C17+(N17/10))/3</f>
        <v>9.0670000000000002</v>
      </c>
      <c r="S17" s="27">
        <f>IF(C17 &gt; 9.25, 10, IF(C17 &gt; 6.75, ROUND(C17, 0), MAX(1, FLOOR(C17, 1))))</f>
        <v>10</v>
      </c>
      <c r="T17" s="20">
        <f>S17/2</f>
        <v>5</v>
      </c>
      <c r="U17" s="25">
        <v>45718</v>
      </c>
      <c r="V17">
        <v>2</v>
      </c>
      <c r="W17" s="25" t="s">
        <v>758</v>
      </c>
      <c r="X17">
        <v>134</v>
      </c>
      <c r="Y17" t="s">
        <v>911</v>
      </c>
      <c r="Z17" t="s">
        <v>825</v>
      </c>
      <c r="AA17" s="25"/>
      <c r="AC17" s="23">
        <v>8.4030000000000005</v>
      </c>
    </row>
    <row r="18" spans="1:29" x14ac:dyDescent="0.25">
      <c r="A18" s="4">
        <v>17</v>
      </c>
      <c r="B18" s="4" t="s">
        <v>55</v>
      </c>
      <c r="C18" s="28">
        <v>9.3049999999999997</v>
      </c>
      <c r="D18" s="4">
        <v>2010</v>
      </c>
      <c r="E18" s="5" t="s">
        <v>10</v>
      </c>
      <c r="F18" s="5" t="s">
        <v>24</v>
      </c>
      <c r="G18" s="5" t="s">
        <v>56</v>
      </c>
      <c r="H18" s="5" t="s">
        <v>958</v>
      </c>
      <c r="I18" s="5" t="s">
        <v>36</v>
      </c>
      <c r="J18" s="5" t="s">
        <v>219</v>
      </c>
      <c r="K18" s="5" t="s">
        <v>217</v>
      </c>
      <c r="L18" s="5" t="s">
        <v>215</v>
      </c>
      <c r="M18" s="4">
        <v>6.6</v>
      </c>
      <c r="N18" s="4">
        <v>78</v>
      </c>
      <c r="O18" s="4">
        <v>3.3</v>
      </c>
      <c r="P18" s="20">
        <f>(M18+(N18/10)+(O18*2))/3</f>
        <v>7</v>
      </c>
      <c r="Q18" s="20">
        <f>(M18+C18+(N18/10)+(O18*2))/4</f>
        <v>7.5762499999999999</v>
      </c>
      <c r="R18" s="20">
        <f>(M18+C18+(N18/10))/3</f>
        <v>7.9016666666666664</v>
      </c>
      <c r="S18" s="27">
        <f>IF(C18 &gt; 9.25, 10, IF(C18 &gt; 6.75, ROUND(C18, 0), MAX(1, FLOOR(C18, 1))))</f>
        <v>10</v>
      </c>
      <c r="T18" s="20">
        <f>S18/2</f>
        <v>5</v>
      </c>
      <c r="U18" s="25">
        <v>46197</v>
      </c>
      <c r="V18">
        <v>3</v>
      </c>
      <c r="W18" s="25" t="s">
        <v>758</v>
      </c>
      <c r="X18">
        <v>107</v>
      </c>
      <c r="Y18" t="s">
        <v>911</v>
      </c>
      <c r="Z18" t="s">
        <v>914</v>
      </c>
      <c r="AA18" s="25"/>
      <c r="AC18" s="24" t="s">
        <v>652</v>
      </c>
    </row>
    <row r="19" spans="1:29" x14ac:dyDescent="0.25">
      <c r="A19" s="4">
        <v>18</v>
      </c>
      <c r="B19" s="4" t="s">
        <v>1295</v>
      </c>
      <c r="C19" s="28">
        <v>9.3040000000000003</v>
      </c>
      <c r="D19" s="4">
        <v>1998</v>
      </c>
      <c r="E19" s="10" t="s">
        <v>999</v>
      </c>
      <c r="F19" s="10" t="s">
        <v>1296</v>
      </c>
      <c r="G19" s="10" t="s">
        <v>1297</v>
      </c>
      <c r="H19" s="10" t="s">
        <v>400</v>
      </c>
      <c r="I19" s="10" t="s">
        <v>1112</v>
      </c>
      <c r="J19" s="10" t="s">
        <v>219</v>
      </c>
      <c r="K19" s="10" t="s">
        <v>215</v>
      </c>
      <c r="M19" s="4">
        <v>8.1</v>
      </c>
      <c r="N19" s="4">
        <v>79</v>
      </c>
      <c r="O19" s="4">
        <v>4.0999999999999996</v>
      </c>
      <c r="P19" s="20">
        <f>(M19+(N19/10)+(O19*2))/3</f>
        <v>8.0666666666666664</v>
      </c>
      <c r="Q19" s="20">
        <f>(M19+C19+(N19/10)+(O19*2))/4</f>
        <v>8.3760000000000012</v>
      </c>
      <c r="R19" s="20">
        <f>(M19+C19+(N19/10))/3</f>
        <v>8.4346666666666668</v>
      </c>
      <c r="S19" s="27">
        <f>IF(C19 &gt; 9.25, 10, IF(C19 &gt; 6.75, ROUND(C19, 0), MAX(1, FLOOR(C19, 1))))</f>
        <v>10</v>
      </c>
      <c r="T19" s="20">
        <f>S19/2</f>
        <v>5</v>
      </c>
      <c r="U19" s="25">
        <v>46233</v>
      </c>
      <c r="V19">
        <v>2</v>
      </c>
      <c r="W19" s="25" t="s">
        <v>758</v>
      </c>
      <c r="X19">
        <v>117</v>
      </c>
      <c r="Y19" t="s">
        <v>911</v>
      </c>
      <c r="Z19" t="s">
        <v>907</v>
      </c>
      <c r="AC19" s="10">
        <v>54</v>
      </c>
    </row>
    <row r="20" spans="1:29" x14ac:dyDescent="0.25">
      <c r="A20" s="4">
        <v>19</v>
      </c>
      <c r="B20" s="4" t="s">
        <v>1079</v>
      </c>
      <c r="C20" s="28">
        <v>9.3030000000000008</v>
      </c>
      <c r="D20" s="4">
        <v>2015</v>
      </c>
      <c r="E20" s="10" t="s">
        <v>19</v>
      </c>
      <c r="F20" s="10" t="s">
        <v>66</v>
      </c>
      <c r="G20" s="10" t="s">
        <v>74</v>
      </c>
      <c r="H20" s="10" t="s">
        <v>338</v>
      </c>
      <c r="I20" s="10" t="s">
        <v>505</v>
      </c>
      <c r="J20" s="10" t="s">
        <v>209</v>
      </c>
      <c r="K20" s="10" t="s">
        <v>223</v>
      </c>
      <c r="L20" s="10" t="s">
        <v>222</v>
      </c>
      <c r="M20" s="4">
        <v>8</v>
      </c>
      <c r="N20" s="4">
        <v>91</v>
      </c>
      <c r="O20" s="4">
        <v>3.8</v>
      </c>
      <c r="P20" s="20">
        <f>(M20+(N20/10)+(O20*2))/3</f>
        <v>8.2333333333333343</v>
      </c>
      <c r="Q20" s="20">
        <f>(M20+C20+(N20/10)+(O20*2))/4</f>
        <v>8.50075</v>
      </c>
      <c r="R20" s="20">
        <f>(M20+C20+(N20/10))/3</f>
        <v>8.8010000000000002</v>
      </c>
      <c r="S20" s="27">
        <f>IF(C20 &gt; 9.25, 10, IF(C20 &gt; 6.75, ROUND(C20, 0), MAX(1, FLOOR(C20, 1))))</f>
        <v>10</v>
      </c>
      <c r="T20" s="20">
        <f>S20/2</f>
        <v>5</v>
      </c>
      <c r="U20" s="25">
        <v>46149</v>
      </c>
      <c r="V20">
        <v>1</v>
      </c>
      <c r="W20" s="25" t="s">
        <v>758</v>
      </c>
      <c r="X20">
        <v>144</v>
      </c>
      <c r="Y20" t="s">
        <v>911</v>
      </c>
      <c r="Z20" t="s">
        <v>907</v>
      </c>
      <c r="AC20" s="23">
        <v>8.202</v>
      </c>
    </row>
    <row r="21" spans="1:29" x14ac:dyDescent="0.25">
      <c r="A21" s="4">
        <v>20</v>
      </c>
      <c r="B21" s="4" t="s">
        <v>600</v>
      </c>
      <c r="C21" s="28">
        <v>9.3019999999999996</v>
      </c>
      <c r="D21" s="4">
        <v>2013</v>
      </c>
      <c r="E21" s="5" t="s">
        <v>24</v>
      </c>
      <c r="F21" s="10" t="s">
        <v>601</v>
      </c>
      <c r="G21" s="10" t="s">
        <v>579</v>
      </c>
      <c r="H21" s="10" t="s">
        <v>602</v>
      </c>
      <c r="I21" s="10" t="s">
        <v>342</v>
      </c>
      <c r="J21" s="10" t="s">
        <v>226</v>
      </c>
      <c r="K21" s="10" t="s">
        <v>220</v>
      </c>
      <c r="L21" t="s">
        <v>209</v>
      </c>
      <c r="M21" s="4">
        <v>7.5</v>
      </c>
      <c r="N21" s="4">
        <v>75</v>
      </c>
      <c r="O21" s="4">
        <v>3.5</v>
      </c>
      <c r="P21" s="20">
        <f>(M21+(N21/10)+(O21*2))/3</f>
        <v>7.333333333333333</v>
      </c>
      <c r="Q21" s="20">
        <f>(M21+C21+(N21/10)+(O21*2))/4</f>
        <v>7.8254999999999999</v>
      </c>
      <c r="R21" s="20">
        <f>(M21+C21+(N21/10))/3</f>
        <v>8.1006666666666671</v>
      </c>
      <c r="S21" s="27">
        <f>IF(C21 &gt; 9.25, 10, IF(C21 &gt; 6.75, ROUND(C21, 0), MAX(1, FLOOR(C21, 1))))</f>
        <v>10</v>
      </c>
      <c r="T21" s="20">
        <f>S21/2</f>
        <v>5</v>
      </c>
      <c r="U21" s="25">
        <v>46167</v>
      </c>
      <c r="V21">
        <v>2</v>
      </c>
      <c r="W21" s="25" t="s">
        <v>758</v>
      </c>
      <c r="X21">
        <v>121</v>
      </c>
      <c r="Y21" t="s">
        <v>916</v>
      </c>
      <c r="Z21" t="s">
        <v>914</v>
      </c>
      <c r="AA21" s="25"/>
      <c r="AC21" s="24" t="s">
        <v>961</v>
      </c>
    </row>
    <row r="22" spans="1:29" x14ac:dyDescent="0.25">
      <c r="A22" s="4">
        <v>21</v>
      </c>
      <c r="B22" s="4" t="s">
        <v>57</v>
      </c>
      <c r="C22" s="28">
        <v>9.3010000000000002</v>
      </c>
      <c r="D22" s="4">
        <v>1994</v>
      </c>
      <c r="E22" s="5" t="s">
        <v>58</v>
      </c>
      <c r="F22" s="5" t="s">
        <v>59</v>
      </c>
      <c r="G22" s="5" t="s">
        <v>60</v>
      </c>
      <c r="H22" s="5" t="s">
        <v>260</v>
      </c>
      <c r="I22" s="5" t="s">
        <v>61</v>
      </c>
      <c r="J22" s="5" t="s">
        <v>215</v>
      </c>
      <c r="K22" s="5" t="s">
        <v>209</v>
      </c>
      <c r="L22" s="5" t="s">
        <v>672</v>
      </c>
      <c r="M22" s="4">
        <v>8.9</v>
      </c>
      <c r="N22" s="4">
        <v>92</v>
      </c>
      <c r="O22" s="4">
        <v>4.2</v>
      </c>
      <c r="P22" s="20">
        <f>(M22+(N22/10)+(O22*2))/3</f>
        <v>8.8333333333333339</v>
      </c>
      <c r="Q22" s="20">
        <f>(M22+C22+(N22/10)+(O22*2))/4</f>
        <v>8.9502500000000005</v>
      </c>
      <c r="R22" s="20">
        <f>(M22+C22+(N22/10))/3</f>
        <v>9.1336666666666666</v>
      </c>
      <c r="S22" s="27">
        <f>IF(C22 &gt; 9.25, 10, IF(C22 &gt; 6.75, ROUND(C22, 0), MAX(1, FLOOR(C22, 1))))</f>
        <v>10</v>
      </c>
      <c r="T22" s="20">
        <f>S22/2</f>
        <v>5</v>
      </c>
      <c r="U22" s="25">
        <v>45014</v>
      </c>
      <c r="V22">
        <v>1</v>
      </c>
      <c r="W22" s="25" t="s">
        <v>758</v>
      </c>
      <c r="X22">
        <v>154</v>
      </c>
      <c r="Y22" t="s">
        <v>911</v>
      </c>
      <c r="Z22" t="s">
        <v>825</v>
      </c>
      <c r="AA22" s="25"/>
      <c r="AC22" s="10">
        <v>61</v>
      </c>
    </row>
    <row r="23" spans="1:29" x14ac:dyDescent="0.25">
      <c r="A23" s="4">
        <v>22</v>
      </c>
      <c r="B23" s="4" t="s">
        <v>735</v>
      </c>
      <c r="C23" s="28">
        <v>9.2040000000000006</v>
      </c>
      <c r="D23" s="4">
        <v>2006</v>
      </c>
      <c r="E23" s="5" t="s">
        <v>10</v>
      </c>
      <c r="F23" s="5" t="s">
        <v>1174</v>
      </c>
      <c r="G23" s="5" t="s">
        <v>249</v>
      </c>
      <c r="H23" s="5" t="s">
        <v>250</v>
      </c>
      <c r="I23" s="5" t="s">
        <v>36</v>
      </c>
      <c r="J23" s="5" t="s">
        <v>219</v>
      </c>
      <c r="K23" s="5" t="s">
        <v>648</v>
      </c>
      <c r="M23" s="4">
        <v>6.6</v>
      </c>
      <c r="N23" s="4">
        <v>71</v>
      </c>
      <c r="O23" s="4">
        <v>3.3</v>
      </c>
      <c r="P23" s="20">
        <f>(M23+(N23/10)+(O23*2))/3</f>
        <v>6.7666666666666657</v>
      </c>
      <c r="Q23" s="20">
        <f>(M23+C23+(N23/10)+(O23*2))/4</f>
        <v>7.3759999999999994</v>
      </c>
      <c r="R23" s="20">
        <f>(M23+C23+(N23/10))/3</f>
        <v>7.6346666666666669</v>
      </c>
      <c r="S23" s="27">
        <f>IF(C23 &gt; 9.25, 10, IF(C23 &gt; 6.75, ROUND(C23, 0), MAX(1, FLOOR(C23, 1))))</f>
        <v>9</v>
      </c>
      <c r="T23" s="20">
        <f>S23/2</f>
        <v>4.5</v>
      </c>
      <c r="U23" s="25">
        <v>45910</v>
      </c>
      <c r="V23">
        <v>2</v>
      </c>
      <c r="W23" s="25" t="s">
        <v>758</v>
      </c>
      <c r="X23">
        <v>108</v>
      </c>
      <c r="Y23" t="s">
        <v>911</v>
      </c>
      <c r="Z23" t="s">
        <v>825</v>
      </c>
      <c r="AA23" s="25"/>
      <c r="AC23" s="23">
        <v>8.0039999999999996</v>
      </c>
    </row>
    <row r="24" spans="1:29" x14ac:dyDescent="0.25">
      <c r="A24" s="4">
        <v>23</v>
      </c>
      <c r="B24" s="4" t="s">
        <v>463</v>
      </c>
      <c r="C24" s="28">
        <v>9.2029999999999994</v>
      </c>
      <c r="D24" s="4">
        <v>1983</v>
      </c>
      <c r="E24" s="10" t="s">
        <v>41</v>
      </c>
      <c r="F24" s="10" t="s">
        <v>469</v>
      </c>
      <c r="G24" s="10" t="s">
        <v>470</v>
      </c>
      <c r="H24" s="10" t="s">
        <v>452</v>
      </c>
      <c r="I24" s="10" t="s">
        <v>44</v>
      </c>
      <c r="J24" s="10" t="s">
        <v>215</v>
      </c>
      <c r="K24" s="10" t="s">
        <v>209</v>
      </c>
      <c r="L24" s="10" t="s">
        <v>672</v>
      </c>
      <c r="M24" s="4">
        <v>8.3000000000000007</v>
      </c>
      <c r="N24" s="4">
        <v>98</v>
      </c>
      <c r="O24" s="4">
        <v>4.0999999999999996</v>
      </c>
      <c r="P24" s="20">
        <f>(M24+(N24/10)+(O24*2))/3</f>
        <v>8.7666666666666675</v>
      </c>
      <c r="Q24" s="20">
        <f>(M24+C24+(N24/10)+(O24*2))/4</f>
        <v>8.87575</v>
      </c>
      <c r="R24" s="20">
        <f>(M24+C24+(N24/10))/3</f>
        <v>9.1010000000000009</v>
      </c>
      <c r="S24" s="27">
        <f>IF(C24 &gt; 9.25, 10, IF(C24 &gt; 6.75, ROUND(C24, 0), MAX(1, FLOOR(C24, 1))))</f>
        <v>9</v>
      </c>
      <c r="T24" s="20">
        <f>S24/2</f>
        <v>4.5</v>
      </c>
      <c r="U24" s="25">
        <v>45898</v>
      </c>
      <c r="V24">
        <v>2</v>
      </c>
      <c r="W24" s="25" t="s">
        <v>758</v>
      </c>
      <c r="X24">
        <v>170</v>
      </c>
      <c r="Y24" t="s">
        <v>911</v>
      </c>
      <c r="Z24" t="s">
        <v>825</v>
      </c>
      <c r="AA24" s="25"/>
      <c r="AC24" s="24" t="s">
        <v>550</v>
      </c>
    </row>
    <row r="25" spans="1:29" x14ac:dyDescent="0.25">
      <c r="A25" s="4">
        <v>24</v>
      </c>
      <c r="B25" s="4" t="s">
        <v>1318</v>
      </c>
      <c r="C25" s="28">
        <v>9.202</v>
      </c>
      <c r="D25" s="4">
        <v>1995</v>
      </c>
      <c r="E25" s="10" t="s">
        <v>63</v>
      </c>
      <c r="F25" s="10" t="s">
        <v>792</v>
      </c>
      <c r="G25" s="10" t="s">
        <v>1319</v>
      </c>
      <c r="H25" s="10" t="s">
        <v>1320</v>
      </c>
      <c r="I25" s="10" t="s">
        <v>1025</v>
      </c>
      <c r="J25" s="10" t="s">
        <v>222</v>
      </c>
      <c r="K25" s="10" t="s">
        <v>224</v>
      </c>
      <c r="L25" s="10" t="s">
        <v>225</v>
      </c>
      <c r="M25" s="4">
        <v>8.3000000000000007</v>
      </c>
      <c r="N25" s="4">
        <v>100</v>
      </c>
      <c r="O25" s="4">
        <v>4.0999999999999996</v>
      </c>
      <c r="P25" s="20">
        <f>(M25+(N25/10)+(O25*2))/3</f>
        <v>8.8333333333333339</v>
      </c>
      <c r="Q25" s="20">
        <f>(M25+C25+(N25/10)+(O25*2))/4</f>
        <v>8.9254999999999995</v>
      </c>
      <c r="R25" s="20">
        <f>(M25+C25+(N25/10))/3</f>
        <v>9.1673333333333336</v>
      </c>
      <c r="S25" s="27">
        <f>IF(C25 &gt; 9.25, 10, IF(C25 &gt; 6.75, ROUND(C25, 0), MAX(1, FLOOR(C25, 1))))</f>
        <v>9</v>
      </c>
      <c r="T25" s="20">
        <f>S25/2</f>
        <v>4.5</v>
      </c>
      <c r="U25" s="25">
        <v>46241</v>
      </c>
      <c r="V25">
        <v>1</v>
      </c>
      <c r="W25" s="25" t="s">
        <v>758</v>
      </c>
      <c r="X25">
        <v>81</v>
      </c>
      <c r="Y25" t="s">
        <v>1321</v>
      </c>
      <c r="Z25" t="s">
        <v>914</v>
      </c>
      <c r="AA25" t="s">
        <v>1318</v>
      </c>
      <c r="AB25">
        <v>1</v>
      </c>
      <c r="AC25" s="10">
        <v>65</v>
      </c>
    </row>
    <row r="26" spans="1:29" x14ac:dyDescent="0.25">
      <c r="A26" s="4">
        <v>25</v>
      </c>
      <c r="B26" s="4" t="s">
        <v>1086</v>
      </c>
      <c r="C26" s="28">
        <v>9.202</v>
      </c>
      <c r="D26" s="4">
        <v>2016</v>
      </c>
      <c r="E26" s="10" t="s">
        <v>537</v>
      </c>
      <c r="F26" s="10" t="s">
        <v>695</v>
      </c>
      <c r="G26" s="10" t="s">
        <v>696</v>
      </c>
      <c r="H26" s="10" t="s">
        <v>697</v>
      </c>
      <c r="I26" s="10" t="s">
        <v>698</v>
      </c>
      <c r="J26" s="10" t="s">
        <v>226</v>
      </c>
      <c r="K26" s="10" t="s">
        <v>217</v>
      </c>
      <c r="L26" s="10" t="s">
        <v>209</v>
      </c>
      <c r="M26" s="4">
        <v>7.3</v>
      </c>
      <c r="N26" s="4">
        <v>51</v>
      </c>
      <c r="O26" s="4">
        <v>3.4</v>
      </c>
      <c r="P26" s="20">
        <f>(M26+(N26/10)+(O26*2))/3</f>
        <v>6.3999999999999995</v>
      </c>
      <c r="Q26" s="20">
        <f>(M26+C26+(N26/10)+(O26*2))/4</f>
        <v>7.1004999999999994</v>
      </c>
      <c r="R26" s="20">
        <f>(M26+C26+(N26/10))/3</f>
        <v>7.2006666666666659</v>
      </c>
      <c r="S26" s="27">
        <f>IF(C26 &gt; 9.25, 10, IF(C26 &gt; 6.75, ROUND(C26, 0), MAX(1, FLOOR(C26, 1))))</f>
        <v>9</v>
      </c>
      <c r="T26" s="20">
        <f>S26/2</f>
        <v>4.5</v>
      </c>
      <c r="U26" s="25">
        <v>45758</v>
      </c>
      <c r="V26">
        <v>2</v>
      </c>
      <c r="W26" s="25" t="s">
        <v>758</v>
      </c>
      <c r="X26">
        <v>144</v>
      </c>
      <c r="Y26" t="s">
        <v>911</v>
      </c>
      <c r="Z26" t="s">
        <v>917</v>
      </c>
      <c r="AA26" s="25"/>
      <c r="AC26" s="23">
        <v>7.9039999999999999</v>
      </c>
    </row>
    <row r="27" spans="1:29" x14ac:dyDescent="0.25">
      <c r="A27" s="4">
        <v>26</v>
      </c>
      <c r="B27" s="4" t="s">
        <v>711</v>
      </c>
      <c r="C27" s="28">
        <v>9.1039999999999992</v>
      </c>
      <c r="D27" s="4">
        <v>2023</v>
      </c>
      <c r="E27" s="10" t="s">
        <v>752</v>
      </c>
      <c r="F27" s="10" t="s">
        <v>753</v>
      </c>
      <c r="G27" s="10" t="s">
        <v>754</v>
      </c>
      <c r="H27" s="10" t="s">
        <v>755</v>
      </c>
      <c r="I27" s="10" t="s">
        <v>710</v>
      </c>
      <c r="J27" s="10" t="s">
        <v>226</v>
      </c>
      <c r="K27" s="10" t="s">
        <v>217</v>
      </c>
      <c r="L27" s="10" t="s">
        <v>209</v>
      </c>
      <c r="M27" s="4">
        <v>7.5</v>
      </c>
      <c r="N27" s="4">
        <v>83</v>
      </c>
      <c r="O27" s="4">
        <v>3.5</v>
      </c>
      <c r="P27" s="20">
        <f>(M27+(N27/10)+(O27*2))/3</f>
        <v>7.6000000000000005</v>
      </c>
      <c r="Q27" s="20">
        <f>(M27+C27+(N27/10)+(O27*2))/4</f>
        <v>7.976</v>
      </c>
      <c r="R27" s="20">
        <f>(M27+C27+(N27/10))/3</f>
        <v>8.3013333333333339</v>
      </c>
      <c r="S27" s="27">
        <f>IF(C27 &gt; 9.25, 10, IF(C27 &gt; 6.75, ROUND(C27, 0), MAX(1, FLOOR(C27, 1))))</f>
        <v>9</v>
      </c>
      <c r="T27" s="20">
        <f>S27/2</f>
        <v>4.5</v>
      </c>
      <c r="U27" s="25">
        <v>45772</v>
      </c>
      <c r="V27">
        <v>2</v>
      </c>
      <c r="W27" s="25" t="s">
        <v>758</v>
      </c>
      <c r="X27">
        <v>123</v>
      </c>
      <c r="Y27" t="s">
        <v>911</v>
      </c>
      <c r="Z27" t="s">
        <v>917</v>
      </c>
      <c r="AA27" s="25"/>
      <c r="AC27" s="24" t="s">
        <v>912</v>
      </c>
    </row>
    <row r="28" spans="1:29" x14ac:dyDescent="0.25">
      <c r="A28" s="4">
        <v>27</v>
      </c>
      <c r="B28" s="4" t="s">
        <v>457</v>
      </c>
      <c r="C28" s="28">
        <v>9.1029999999999998</v>
      </c>
      <c r="D28" s="4">
        <v>2014</v>
      </c>
      <c r="E28" s="5" t="s">
        <v>458</v>
      </c>
      <c r="F28" s="10" t="s">
        <v>459</v>
      </c>
      <c r="G28" s="10" t="s">
        <v>460</v>
      </c>
      <c r="H28" s="10" t="s">
        <v>461</v>
      </c>
      <c r="I28" s="10" t="s">
        <v>462</v>
      </c>
      <c r="J28" s="10" t="s">
        <v>226</v>
      </c>
      <c r="K28" s="10" t="s">
        <v>217</v>
      </c>
      <c r="L28" s="10" t="s">
        <v>209</v>
      </c>
      <c r="M28" s="4">
        <v>8</v>
      </c>
      <c r="N28" s="4">
        <v>89</v>
      </c>
      <c r="O28" s="4">
        <v>3.8</v>
      </c>
      <c r="P28" s="20">
        <f>(M28+(N28/10)+(O28*2))/3</f>
        <v>8.1666666666666661</v>
      </c>
      <c r="Q28" s="20">
        <f>(M28+C28+(N28/10)+(O28*2))/4</f>
        <v>8.4007500000000004</v>
      </c>
      <c r="R28" s="20">
        <f>(M28+C28+(N28/10))/3</f>
        <v>8.6676666666666673</v>
      </c>
      <c r="S28" s="27">
        <f>IF(C28 &gt; 9.25, 10, IF(C28 &gt; 6.75, ROUND(C28, 0), MAX(1, FLOOR(C28, 1))))</f>
        <v>9</v>
      </c>
      <c r="T28" s="20">
        <f>S28/2</f>
        <v>4.5</v>
      </c>
      <c r="U28" s="25">
        <v>46180</v>
      </c>
      <c r="V28">
        <v>3</v>
      </c>
      <c r="W28" s="25" t="s">
        <v>758</v>
      </c>
      <c r="X28">
        <v>114</v>
      </c>
      <c r="Y28" t="s">
        <v>923</v>
      </c>
      <c r="Z28" t="s">
        <v>914</v>
      </c>
      <c r="AA28" s="25"/>
      <c r="AC28" s="10">
        <v>73</v>
      </c>
    </row>
    <row r="29" spans="1:29" x14ac:dyDescent="0.25">
      <c r="A29" s="4">
        <v>28</v>
      </c>
      <c r="B29" s="4" t="s">
        <v>649</v>
      </c>
      <c r="C29" s="28">
        <v>9.1020000000000003</v>
      </c>
      <c r="D29" s="4">
        <v>2000</v>
      </c>
      <c r="E29" s="10" t="s">
        <v>122</v>
      </c>
      <c r="F29" s="10" t="s">
        <v>650</v>
      </c>
      <c r="G29" s="10" t="s">
        <v>651</v>
      </c>
      <c r="H29" s="10" t="s">
        <v>576</v>
      </c>
      <c r="I29" s="10" t="s">
        <v>745</v>
      </c>
      <c r="J29" s="10" t="s">
        <v>210</v>
      </c>
      <c r="K29" s="10" t="s">
        <v>209</v>
      </c>
      <c r="M29" s="4">
        <v>7.8</v>
      </c>
      <c r="N29" s="4">
        <v>73</v>
      </c>
      <c r="O29" s="4">
        <v>3.9</v>
      </c>
      <c r="P29" s="20">
        <f>(M29+(N29/10)+(O29*2))/3</f>
        <v>7.6333333333333329</v>
      </c>
      <c r="Q29" s="20">
        <f>(M29+C29+(N29/10)+(O29*2))/4</f>
        <v>8.0005000000000006</v>
      </c>
      <c r="R29" s="20">
        <f>(M29+C29+(N29/10))/3</f>
        <v>8.0673333333333339</v>
      </c>
      <c r="S29" s="27">
        <f>IF(C29 &gt; 9.25, 10, IF(C29 &gt; 6.75, ROUND(C29, 0), MAX(1, FLOOR(C29, 1))))</f>
        <v>9</v>
      </c>
      <c r="T29" s="20">
        <f>S29/2</f>
        <v>4.5</v>
      </c>
      <c r="U29" s="25">
        <v>45540</v>
      </c>
      <c r="V29">
        <v>2</v>
      </c>
      <c r="W29" s="25" t="s">
        <v>758</v>
      </c>
      <c r="X29">
        <v>113</v>
      </c>
      <c r="Y29" t="s">
        <v>911</v>
      </c>
      <c r="Z29" t="s">
        <v>915</v>
      </c>
      <c r="AA29" s="25"/>
      <c r="AC29" s="23">
        <v>7.8010000000000002</v>
      </c>
    </row>
    <row r="30" spans="1:29" x14ac:dyDescent="0.25">
      <c r="A30" s="4">
        <v>29</v>
      </c>
      <c r="B30" s="4" t="s">
        <v>391</v>
      </c>
      <c r="C30" s="28">
        <v>9.1010000000000009</v>
      </c>
      <c r="D30" s="4">
        <v>2019</v>
      </c>
      <c r="E30" s="10" t="s">
        <v>19</v>
      </c>
      <c r="F30" s="10" t="s">
        <v>126</v>
      </c>
      <c r="G30" s="11" t="s">
        <v>392</v>
      </c>
      <c r="H30" s="11" t="s">
        <v>393</v>
      </c>
      <c r="I30" s="11" t="s">
        <v>394</v>
      </c>
      <c r="J30" s="10" t="s">
        <v>648</v>
      </c>
      <c r="K30" s="10" t="s">
        <v>209</v>
      </c>
      <c r="L30" s="11" t="s">
        <v>220</v>
      </c>
      <c r="M30" s="4">
        <v>8.1</v>
      </c>
      <c r="N30" s="4">
        <v>92</v>
      </c>
      <c r="O30" s="4">
        <v>4</v>
      </c>
      <c r="P30" s="20">
        <f>(M30+(N30/10)+(O30*2))/3</f>
        <v>8.4333333333333318</v>
      </c>
      <c r="Q30" s="20">
        <f>(M30+C30+(N30/10)+(O30*2))/4</f>
        <v>8.6002499999999991</v>
      </c>
      <c r="R30" s="20">
        <f>(M30+C30+(N30/10))/3</f>
        <v>8.8003333333333327</v>
      </c>
      <c r="S30" s="27">
        <f>IF(C30 &gt; 9.25, 10, IF(C30 &gt; 6.75, ROUND(C30, 0), MAX(1, FLOOR(C30, 1))))</f>
        <v>9</v>
      </c>
      <c r="T30" s="20">
        <f>S30/2</f>
        <v>4.5</v>
      </c>
      <c r="U30" s="25">
        <v>45834</v>
      </c>
      <c r="V30">
        <v>1</v>
      </c>
      <c r="W30" s="25" t="s">
        <v>758</v>
      </c>
      <c r="X30">
        <v>152</v>
      </c>
      <c r="Y30" t="s">
        <v>911</v>
      </c>
      <c r="Z30" t="s">
        <v>825</v>
      </c>
      <c r="AA30" s="25"/>
      <c r="AC30" s="24" t="s">
        <v>176</v>
      </c>
    </row>
    <row r="31" spans="1:29" x14ac:dyDescent="0.25">
      <c r="A31" s="4">
        <v>30</v>
      </c>
      <c r="B31" s="4" t="s">
        <v>603</v>
      </c>
      <c r="C31" s="28">
        <v>9.0039999999999996</v>
      </c>
      <c r="D31" s="4">
        <v>2000</v>
      </c>
      <c r="E31" s="5" t="s">
        <v>517</v>
      </c>
      <c r="F31" s="10" t="s">
        <v>502</v>
      </c>
      <c r="G31" s="10" t="s">
        <v>1180</v>
      </c>
      <c r="H31" s="10" t="s">
        <v>604</v>
      </c>
      <c r="I31" s="10" t="s">
        <v>505</v>
      </c>
      <c r="J31" s="10" t="s">
        <v>208</v>
      </c>
      <c r="K31" s="10" t="s">
        <v>222</v>
      </c>
      <c r="L31" s="10" t="s">
        <v>209</v>
      </c>
      <c r="M31" s="4">
        <v>8.5</v>
      </c>
      <c r="N31" s="4">
        <v>80</v>
      </c>
      <c r="O31" s="4">
        <v>4.2</v>
      </c>
      <c r="P31" s="20">
        <f>(M31+(N31/10)+(O31*2))/3</f>
        <v>8.2999999999999989</v>
      </c>
      <c r="Q31" s="20">
        <f>(M31+C31+(N31/10)+(O31*2))/4</f>
        <v>8.4759999999999991</v>
      </c>
      <c r="R31" s="20">
        <f>(M31+C31+(N31/10))/3</f>
        <v>8.5013333333333332</v>
      </c>
      <c r="S31" s="27">
        <f>IF(C31 &gt; 9.25, 10, IF(C31 &gt; 6.75, ROUND(C31, 0), MAX(1, FLOOR(C31, 1))))</f>
        <v>9</v>
      </c>
      <c r="T31" s="20">
        <f>S31/2</f>
        <v>4.5</v>
      </c>
      <c r="U31" s="25">
        <v>45483</v>
      </c>
      <c r="V31">
        <v>1</v>
      </c>
      <c r="W31" s="25" t="s">
        <v>758</v>
      </c>
      <c r="X31">
        <v>155</v>
      </c>
      <c r="Y31" t="s">
        <v>911</v>
      </c>
      <c r="Z31" t="s">
        <v>825</v>
      </c>
      <c r="AA31" s="25"/>
      <c r="AC31" s="10">
        <v>79</v>
      </c>
    </row>
    <row r="32" spans="1:29" x14ac:dyDescent="0.25">
      <c r="A32" s="4">
        <v>31</v>
      </c>
      <c r="B32" s="4" t="s">
        <v>731</v>
      </c>
      <c r="C32" s="28">
        <v>9.0030000000000001</v>
      </c>
      <c r="D32" s="4">
        <v>1995</v>
      </c>
      <c r="E32" s="5" t="s">
        <v>715</v>
      </c>
      <c r="F32" s="10" t="s">
        <v>927</v>
      </c>
      <c r="G32" s="10" t="s">
        <v>479</v>
      </c>
      <c r="H32" s="10" t="s">
        <v>926</v>
      </c>
      <c r="I32" s="10" t="s">
        <v>715</v>
      </c>
      <c r="J32" s="10" t="s">
        <v>226</v>
      </c>
      <c r="K32" s="10" t="s">
        <v>209</v>
      </c>
      <c r="L32" s="10" t="s">
        <v>220</v>
      </c>
      <c r="M32" s="4">
        <v>8.3000000000000007</v>
      </c>
      <c r="N32" s="4">
        <v>76</v>
      </c>
      <c r="O32" s="4">
        <v>3.9</v>
      </c>
      <c r="P32" s="20">
        <f>(M32+(N32/10)+(O32*2))/3</f>
        <v>7.8999999999999995</v>
      </c>
      <c r="Q32" s="20">
        <f>(M32+C32+(N32/10)+(O32*2))/4</f>
        <v>8.175749999999999</v>
      </c>
      <c r="R32" s="20">
        <f>(M32+C32+(N32/10))/3</f>
        <v>8.3010000000000002</v>
      </c>
      <c r="S32" s="27">
        <f>IF(C32 &gt; 9.25, 10, IF(C32 &gt; 6.75, ROUND(C32, 0), MAX(1, FLOOR(C32, 1))))</f>
        <v>9</v>
      </c>
      <c r="T32" s="20">
        <f>S32/2</f>
        <v>4.5</v>
      </c>
      <c r="U32" s="25">
        <v>46043</v>
      </c>
      <c r="V32">
        <v>1</v>
      </c>
      <c r="W32" s="25" t="s">
        <v>758</v>
      </c>
      <c r="X32">
        <v>178</v>
      </c>
      <c r="Y32" t="s">
        <v>911</v>
      </c>
      <c r="Z32" t="s">
        <v>915</v>
      </c>
      <c r="AA32" s="25"/>
      <c r="AC32" s="23">
        <v>7.6050000000000004</v>
      </c>
    </row>
    <row r="33" spans="1:29" x14ac:dyDescent="0.25">
      <c r="A33" s="4">
        <v>32</v>
      </c>
      <c r="B33" s="4" t="s">
        <v>1030</v>
      </c>
      <c r="C33" s="28">
        <v>9.0020000000000007</v>
      </c>
      <c r="D33" s="4">
        <v>1992</v>
      </c>
      <c r="E33" s="10" t="s">
        <v>41</v>
      </c>
      <c r="F33" s="10" t="s">
        <v>1031</v>
      </c>
      <c r="G33" s="10" t="s">
        <v>1032</v>
      </c>
      <c r="H33" s="10" t="s">
        <v>1179</v>
      </c>
      <c r="I33" s="10" t="s">
        <v>1033</v>
      </c>
      <c r="J33" s="10" t="s">
        <v>209</v>
      </c>
      <c r="K33" s="10" t="s">
        <v>670</v>
      </c>
      <c r="M33" s="4">
        <v>8</v>
      </c>
      <c r="N33" s="4">
        <v>82</v>
      </c>
      <c r="O33" s="4">
        <v>3.9</v>
      </c>
      <c r="P33" s="20">
        <f>(M33+(N33/10)+(O33*2))/3</f>
        <v>8</v>
      </c>
      <c r="Q33" s="20">
        <f>(M33+C33+(N33/10)+(O33*2))/4</f>
        <v>8.2505000000000006</v>
      </c>
      <c r="R33" s="20">
        <f>(M33+C33+(N33/10))/3</f>
        <v>8.4006666666666678</v>
      </c>
      <c r="S33" s="27">
        <f>IF(C33 &gt; 9.25, 10, IF(C33 &gt; 6.75, ROUND(C33, 0), MAX(1, FLOOR(C33, 1))))</f>
        <v>9</v>
      </c>
      <c r="T33" s="20">
        <f>S33/2</f>
        <v>4.5</v>
      </c>
      <c r="U33" s="25">
        <v>46093</v>
      </c>
      <c r="V33">
        <v>1</v>
      </c>
      <c r="W33" s="25" t="s">
        <v>758</v>
      </c>
      <c r="X33">
        <v>156</v>
      </c>
      <c r="Y33" t="s">
        <v>911</v>
      </c>
      <c r="Z33" t="s">
        <v>917</v>
      </c>
      <c r="AC33" s="24" t="s">
        <v>525</v>
      </c>
    </row>
    <row r="34" spans="1:29" x14ac:dyDescent="0.25">
      <c r="A34" s="4">
        <v>33</v>
      </c>
      <c r="B34" s="4" t="s">
        <v>62</v>
      </c>
      <c r="C34" s="28">
        <v>9.0009999999999994</v>
      </c>
      <c r="D34" s="4">
        <v>1998</v>
      </c>
      <c r="E34" s="5" t="s">
        <v>63</v>
      </c>
      <c r="F34" s="5" t="s">
        <v>19</v>
      </c>
      <c r="G34" s="5" t="s">
        <v>261</v>
      </c>
      <c r="H34" s="5" t="s">
        <v>262</v>
      </c>
      <c r="I34" s="5" t="s">
        <v>64</v>
      </c>
      <c r="J34" s="5" t="s">
        <v>226</v>
      </c>
      <c r="K34" s="5" t="s">
        <v>209</v>
      </c>
      <c r="L34" s="5" t="s">
        <v>670</v>
      </c>
      <c r="M34" s="4">
        <v>8.6</v>
      </c>
      <c r="N34" s="4">
        <v>93</v>
      </c>
      <c r="O34" s="4">
        <v>4.2</v>
      </c>
      <c r="P34" s="20">
        <f>(M34+(N34/10)+(O34*2))/3</f>
        <v>8.7666666666666657</v>
      </c>
      <c r="Q34" s="20">
        <f>(M34+C34+(N34/10)+(O34*2))/4</f>
        <v>8.8252500000000005</v>
      </c>
      <c r="R34" s="20">
        <f>(M34+C34+(N34/10))/3</f>
        <v>8.9670000000000005</v>
      </c>
      <c r="S34" s="27">
        <f>IF(C34 &gt; 9.25, 10, IF(C34 &gt; 6.75, ROUND(C34, 0), MAX(1, FLOOR(C34, 1))))</f>
        <v>9</v>
      </c>
      <c r="T34" s="20">
        <f>S34/2</f>
        <v>4.5</v>
      </c>
      <c r="U34" s="25">
        <v>45896</v>
      </c>
      <c r="V34">
        <v>1</v>
      </c>
      <c r="W34" s="25" t="s">
        <v>758</v>
      </c>
      <c r="X34">
        <v>169</v>
      </c>
      <c r="Y34" t="s">
        <v>911</v>
      </c>
      <c r="Z34" t="s">
        <v>914</v>
      </c>
      <c r="AA34" s="25"/>
      <c r="AC34" s="10">
        <v>84</v>
      </c>
    </row>
    <row r="35" spans="1:29" x14ac:dyDescent="0.25">
      <c r="A35" s="4">
        <v>34</v>
      </c>
      <c r="B35" s="4" t="s">
        <v>732</v>
      </c>
      <c r="C35" s="28">
        <v>8.9060000000000006</v>
      </c>
      <c r="D35" s="4">
        <v>1974</v>
      </c>
      <c r="E35" s="5" t="s">
        <v>41</v>
      </c>
      <c r="F35" s="10" t="s">
        <v>482</v>
      </c>
      <c r="G35" s="10" t="s">
        <v>768</v>
      </c>
      <c r="H35" s="10" t="s">
        <v>30</v>
      </c>
      <c r="I35" s="10" t="s">
        <v>971</v>
      </c>
      <c r="J35" s="10" t="s">
        <v>215</v>
      </c>
      <c r="K35" s="10" t="s">
        <v>209</v>
      </c>
      <c r="L35" s="10" t="s">
        <v>672</v>
      </c>
      <c r="M35" s="4">
        <v>9</v>
      </c>
      <c r="N35" s="4">
        <v>96</v>
      </c>
      <c r="O35" s="4">
        <v>4.5999999999999996</v>
      </c>
      <c r="P35" s="20">
        <f>(M35+(N35/10)+(O35*2))/3</f>
        <v>9.2666666666666675</v>
      </c>
      <c r="Q35" s="20">
        <f>(M35+C35+(N35/10)+(O35*2))/4</f>
        <v>9.1765000000000008</v>
      </c>
      <c r="R35" s="20">
        <f>(M35+C35+(N35/10))/3</f>
        <v>9.1686666666666667</v>
      </c>
      <c r="S35" s="27">
        <f>IF(C35 &gt; 9.25, 10, IF(C35 &gt; 6.75, ROUND(C35, 0), MAX(1, FLOOR(C35, 1))))</f>
        <v>9</v>
      </c>
      <c r="T35" s="20">
        <f>S35/2</f>
        <v>4.5</v>
      </c>
      <c r="U35" s="25">
        <v>45885</v>
      </c>
      <c r="V35">
        <v>1</v>
      </c>
      <c r="W35" s="25" t="s">
        <v>758</v>
      </c>
      <c r="X35">
        <v>202</v>
      </c>
      <c r="Y35" t="s">
        <v>911</v>
      </c>
      <c r="Z35" t="s">
        <v>825</v>
      </c>
      <c r="AA35" s="25" t="s">
        <v>489</v>
      </c>
      <c r="AB35">
        <v>2</v>
      </c>
      <c r="AC35" s="23">
        <v>7.5049999999999999</v>
      </c>
    </row>
    <row r="36" spans="1:29" x14ac:dyDescent="0.25">
      <c r="A36" s="4">
        <v>35</v>
      </c>
      <c r="B36" s="4" t="s">
        <v>1247</v>
      </c>
      <c r="C36" s="28">
        <v>8.9049999999999994</v>
      </c>
      <c r="D36" s="4">
        <v>1995</v>
      </c>
      <c r="E36" s="5" t="s">
        <v>51</v>
      </c>
      <c r="F36" s="5" t="s">
        <v>52</v>
      </c>
      <c r="G36" s="5" t="s">
        <v>53</v>
      </c>
      <c r="H36" s="5" t="s">
        <v>257</v>
      </c>
      <c r="I36" s="5" t="s">
        <v>54</v>
      </c>
      <c r="J36" s="5" t="s">
        <v>215</v>
      </c>
      <c r="K36" s="5" t="s">
        <v>209</v>
      </c>
      <c r="L36" s="5" t="s">
        <v>216</v>
      </c>
      <c r="M36" s="4">
        <v>8.6</v>
      </c>
      <c r="N36" s="4">
        <v>82</v>
      </c>
      <c r="O36" s="4">
        <v>4.4000000000000004</v>
      </c>
      <c r="P36" s="20">
        <f>(M36+(N36/10)+(O36*2))/3</f>
        <v>8.5333333333333332</v>
      </c>
      <c r="Q36" s="20">
        <f>(M36+C36+(N36/10)+(O36*2))/4</f>
        <v>8.6262499999999989</v>
      </c>
      <c r="R36" s="20">
        <f>(M36+C36+(N36/10))/3</f>
        <v>8.5683333333333334</v>
      </c>
      <c r="S36" s="27">
        <f>IF(C36 &gt; 9.25, 10, IF(C36 &gt; 6.75, ROUND(C36, 0), MAX(1, FLOOR(C36, 1))))</f>
        <v>9</v>
      </c>
      <c r="T36" s="20">
        <f>S36/2</f>
        <v>4.5</v>
      </c>
      <c r="U36" s="25">
        <v>44748</v>
      </c>
      <c r="V36">
        <v>1</v>
      </c>
      <c r="W36" s="25" t="s">
        <v>758</v>
      </c>
      <c r="X36">
        <v>127</v>
      </c>
      <c r="Y36" t="s">
        <v>911</v>
      </c>
      <c r="Z36" t="s">
        <v>825</v>
      </c>
      <c r="AA36" s="25"/>
      <c r="AC36" s="24" t="s">
        <v>933</v>
      </c>
    </row>
    <row r="37" spans="1:29" x14ac:dyDescent="0.25">
      <c r="A37" s="4">
        <v>36</v>
      </c>
      <c r="B37" s="4" t="s">
        <v>489</v>
      </c>
      <c r="C37" s="28">
        <v>8.9039999999999999</v>
      </c>
      <c r="D37" s="4">
        <v>1972</v>
      </c>
      <c r="E37" s="10" t="s">
        <v>490</v>
      </c>
      <c r="F37" s="10" t="s">
        <v>41</v>
      </c>
      <c r="G37" s="10" t="s">
        <v>491</v>
      </c>
      <c r="H37" s="10" t="s">
        <v>482</v>
      </c>
      <c r="I37" s="10" t="s">
        <v>971</v>
      </c>
      <c r="J37" s="10" t="s">
        <v>215</v>
      </c>
      <c r="K37" s="10" t="s">
        <v>209</v>
      </c>
      <c r="L37" s="10" t="s">
        <v>672</v>
      </c>
      <c r="M37" s="4">
        <v>9.1999999999999993</v>
      </c>
      <c r="N37" s="4">
        <v>98</v>
      </c>
      <c r="O37" s="4">
        <v>4.5</v>
      </c>
      <c r="P37" s="20">
        <f>(M37+(N37/10)+(O37*2))/3</f>
        <v>9.3333333333333339</v>
      </c>
      <c r="Q37" s="20">
        <f>(M37+C37+(N37/10)+(O37*2))/4</f>
        <v>9.2259999999999991</v>
      </c>
      <c r="R37" s="20">
        <f>(M37+C37+(N37/10))/3</f>
        <v>9.3013333333333339</v>
      </c>
      <c r="S37" s="27">
        <f>IF(C37 &gt; 9.25, 10, IF(C37 &gt; 6.75, ROUND(C37, 0), MAX(1, FLOOR(C37, 1))))</f>
        <v>9</v>
      </c>
      <c r="T37" s="20">
        <f>S37/2</f>
        <v>4.5</v>
      </c>
      <c r="U37" s="25">
        <v>45885</v>
      </c>
      <c r="V37">
        <v>2</v>
      </c>
      <c r="W37" s="25" t="s">
        <v>758</v>
      </c>
      <c r="X37">
        <v>175</v>
      </c>
      <c r="Y37" t="s">
        <v>911</v>
      </c>
      <c r="Z37" t="s">
        <v>907</v>
      </c>
      <c r="AA37" s="25" t="s">
        <v>489</v>
      </c>
      <c r="AB37">
        <v>1</v>
      </c>
      <c r="AC37" s="10">
        <v>96</v>
      </c>
    </row>
    <row r="38" spans="1:29" x14ac:dyDescent="0.25">
      <c r="A38" s="4">
        <v>37</v>
      </c>
      <c r="B38" s="4" t="s">
        <v>358</v>
      </c>
      <c r="C38" s="28">
        <v>8.9030000000000005</v>
      </c>
      <c r="D38" s="4">
        <v>1992</v>
      </c>
      <c r="E38" s="5" t="s">
        <v>9</v>
      </c>
      <c r="F38" s="10" t="s">
        <v>23</v>
      </c>
      <c r="G38" s="10" t="s">
        <v>359</v>
      </c>
      <c r="H38" s="10" t="s">
        <v>360</v>
      </c>
      <c r="I38" s="10" t="s">
        <v>1208</v>
      </c>
      <c r="J38" s="10" t="s">
        <v>209</v>
      </c>
      <c r="K38" s="10" t="s">
        <v>217</v>
      </c>
      <c r="L38" s="10" t="s">
        <v>673</v>
      </c>
      <c r="M38" s="4">
        <v>7.7</v>
      </c>
      <c r="N38" s="4">
        <v>83</v>
      </c>
      <c r="O38" s="4">
        <v>4</v>
      </c>
      <c r="P38" s="20">
        <f>(M38+(N38/10)+(O38*2))/3</f>
        <v>8</v>
      </c>
      <c r="Q38" s="20">
        <f>(M38+C38+(N38/10)+(O38*2))/4</f>
        <v>8.2257500000000014</v>
      </c>
      <c r="R38" s="20">
        <f>(M38+C38+(N38/10))/3</f>
        <v>8.3010000000000002</v>
      </c>
      <c r="S38" s="27">
        <f>IF(C38 &gt; 9.25, 10, IF(C38 &gt; 6.75, ROUND(C38, 0), MAX(1, FLOOR(C38, 1))))</f>
        <v>9</v>
      </c>
      <c r="T38" s="20">
        <f>S38/2</f>
        <v>4.5</v>
      </c>
      <c r="U38" s="25">
        <v>45789</v>
      </c>
      <c r="V38">
        <v>1</v>
      </c>
      <c r="W38" s="25" t="s">
        <v>758</v>
      </c>
      <c r="X38">
        <v>138</v>
      </c>
      <c r="Y38" t="s">
        <v>911</v>
      </c>
      <c r="Z38" t="s">
        <v>825</v>
      </c>
      <c r="AA38" s="25"/>
      <c r="AC38" s="23">
        <v>7.306</v>
      </c>
    </row>
    <row r="39" spans="1:29" x14ac:dyDescent="0.25">
      <c r="A39" s="4">
        <v>38</v>
      </c>
      <c r="B39" s="4" t="s">
        <v>40</v>
      </c>
      <c r="C39" s="28">
        <v>8.9019999999999992</v>
      </c>
      <c r="D39" s="4">
        <v>1995</v>
      </c>
      <c r="E39" s="5" t="s">
        <v>30</v>
      </c>
      <c r="F39" s="5" t="s">
        <v>41</v>
      </c>
      <c r="G39" s="5" t="s">
        <v>1173</v>
      </c>
      <c r="H39" s="5" t="s">
        <v>43</v>
      </c>
      <c r="I39" s="5" t="s">
        <v>42</v>
      </c>
      <c r="J39" s="5" t="s">
        <v>215</v>
      </c>
      <c r="K39" s="5" t="s">
        <v>209</v>
      </c>
      <c r="L39" s="5" t="s">
        <v>672</v>
      </c>
      <c r="M39" s="4">
        <v>8.3000000000000007</v>
      </c>
      <c r="N39" s="4">
        <v>88</v>
      </c>
      <c r="O39" s="4">
        <v>4.3</v>
      </c>
      <c r="P39" s="20">
        <f>(M39+(N39/10)+(O39*2))/3</f>
        <v>8.5666666666666682</v>
      </c>
      <c r="Q39" s="20">
        <f>(M39+C39+(N39/10)+(O39*2))/4</f>
        <v>8.6504999999999992</v>
      </c>
      <c r="R39" s="20">
        <f>(M39+C39+(N39/10))/3</f>
        <v>8.6673333333333336</v>
      </c>
      <c r="S39" s="27">
        <f>IF(C39 &gt; 9.25, 10, IF(C39 &gt; 6.75, ROUND(C39, 0), MAX(1, FLOOR(C39, 1))))</f>
        <v>9</v>
      </c>
      <c r="T39" s="20">
        <f>S39/2</f>
        <v>4.5</v>
      </c>
      <c r="U39" s="25">
        <v>45898</v>
      </c>
      <c r="V39">
        <v>2</v>
      </c>
      <c r="W39" s="25" t="s">
        <v>758</v>
      </c>
      <c r="X39">
        <v>170</v>
      </c>
      <c r="Y39" t="s">
        <v>911</v>
      </c>
      <c r="Z39" t="s">
        <v>825</v>
      </c>
      <c r="AA39" s="25"/>
      <c r="AC39" s="24" t="s">
        <v>983</v>
      </c>
    </row>
    <row r="40" spans="1:29" x14ac:dyDescent="0.25">
      <c r="A40" s="4">
        <v>39</v>
      </c>
      <c r="B40" s="4" t="s">
        <v>1111</v>
      </c>
      <c r="C40" s="28">
        <v>8.9009999999999998</v>
      </c>
      <c r="D40" s="4">
        <v>2007</v>
      </c>
      <c r="E40" s="10" t="s">
        <v>455</v>
      </c>
      <c r="F40" s="10" t="s">
        <v>987</v>
      </c>
      <c r="G40" s="10" t="s">
        <v>510</v>
      </c>
      <c r="H40" s="10" t="s">
        <v>330</v>
      </c>
      <c r="I40" s="10" t="s">
        <v>1112</v>
      </c>
      <c r="J40" s="10" t="s">
        <v>215</v>
      </c>
      <c r="K40" s="10" t="s">
        <v>209</v>
      </c>
      <c r="L40" t="s">
        <v>217</v>
      </c>
      <c r="M40" s="4">
        <v>8.1999999999999993</v>
      </c>
      <c r="N40" s="4">
        <v>93</v>
      </c>
      <c r="O40" s="4">
        <v>4.5999999999999996</v>
      </c>
      <c r="P40" s="20">
        <f>(M40+(N40/10)+(O40*2))/3</f>
        <v>8.9</v>
      </c>
      <c r="Q40" s="20">
        <f>(M40+C40+(N40/10)+(O40*2))/4</f>
        <v>8.9002499999999998</v>
      </c>
      <c r="R40" s="20">
        <f>(M40+C40+(N40/10))/3</f>
        <v>8.8003333333333327</v>
      </c>
      <c r="S40" s="27">
        <f>IF(C40 &gt; 9.25, 10, IF(C40 &gt; 6.75, ROUND(C40, 0), MAX(1, FLOOR(C40, 1))))</f>
        <v>9</v>
      </c>
      <c r="T40" s="20">
        <f>S40/2</f>
        <v>4.5</v>
      </c>
      <c r="U40" s="25">
        <v>46163</v>
      </c>
      <c r="V40">
        <v>1</v>
      </c>
      <c r="W40" s="25" t="s">
        <v>758</v>
      </c>
      <c r="X40">
        <v>122</v>
      </c>
      <c r="Y40" t="s">
        <v>911</v>
      </c>
      <c r="Z40" t="s">
        <v>907</v>
      </c>
      <c r="AC40" s="10">
        <v>103</v>
      </c>
    </row>
    <row r="41" spans="1:29" x14ac:dyDescent="0.25">
      <c r="A41" s="4">
        <v>40</v>
      </c>
      <c r="B41" s="4" t="s">
        <v>1015</v>
      </c>
      <c r="C41" s="28">
        <v>8.8070000000000004</v>
      </c>
      <c r="D41" s="4">
        <v>2010</v>
      </c>
      <c r="E41" s="10" t="s">
        <v>20</v>
      </c>
      <c r="F41" s="10" t="s">
        <v>336</v>
      </c>
      <c r="G41" s="10" t="s">
        <v>146</v>
      </c>
      <c r="H41" s="10" t="s">
        <v>682</v>
      </c>
      <c r="I41" s="10" t="s">
        <v>20</v>
      </c>
      <c r="J41" s="10" t="s">
        <v>215</v>
      </c>
      <c r="K41" s="10" t="s">
        <v>209</v>
      </c>
      <c r="L41" s="10" t="s">
        <v>217</v>
      </c>
      <c r="M41" s="4">
        <v>7.5</v>
      </c>
      <c r="N41" s="4">
        <v>92</v>
      </c>
      <c r="O41" s="4">
        <v>3.7</v>
      </c>
      <c r="P41" s="20">
        <f>(M41+(N41/10)+(O41*2))/3</f>
        <v>8.0333333333333332</v>
      </c>
      <c r="Q41" s="20">
        <f>(M41+C41+(N41/10)+(O41*2))/4</f>
        <v>8.2267500000000009</v>
      </c>
      <c r="R41" s="20">
        <f>(M41+C41+(N41/10))/3</f>
        <v>8.5023333333333344</v>
      </c>
      <c r="S41" s="27">
        <f>IF(C41 &gt; 9.25, 10, IF(C41 &gt; 6.75, ROUND(C41, 0), MAX(1, FLOOR(C41, 1))))</f>
        <v>9</v>
      </c>
      <c r="T41" s="20">
        <f>S41/2</f>
        <v>4.5</v>
      </c>
      <c r="U41" s="25">
        <v>46078</v>
      </c>
      <c r="V41">
        <v>1</v>
      </c>
      <c r="W41" s="25" t="s">
        <v>758</v>
      </c>
      <c r="X41">
        <v>125</v>
      </c>
      <c r="Y41" t="s">
        <v>911</v>
      </c>
      <c r="Z41" t="s">
        <v>907</v>
      </c>
      <c r="AC41" s="23">
        <v>7.2039999999999997</v>
      </c>
    </row>
    <row r="42" spans="1:29" x14ac:dyDescent="0.25">
      <c r="A42" s="4">
        <v>41</v>
      </c>
      <c r="B42" s="4" t="s">
        <v>1161</v>
      </c>
      <c r="C42" s="28">
        <v>8.8059999999999992</v>
      </c>
      <c r="D42" s="4">
        <v>2019</v>
      </c>
      <c r="E42" s="10" t="s">
        <v>530</v>
      </c>
      <c r="F42" s="10" t="s">
        <v>985</v>
      </c>
      <c r="G42" s="10" t="s">
        <v>309</v>
      </c>
      <c r="H42" s="10" t="s">
        <v>347</v>
      </c>
      <c r="I42" s="10" t="s">
        <v>1056</v>
      </c>
      <c r="J42" s="10" t="s">
        <v>208</v>
      </c>
      <c r="K42" s="10" t="s">
        <v>223</v>
      </c>
      <c r="L42" s="10" t="s">
        <v>951</v>
      </c>
      <c r="M42" s="4">
        <v>8.4</v>
      </c>
      <c r="N42" s="4">
        <v>94</v>
      </c>
      <c r="O42" s="4">
        <v>4</v>
      </c>
      <c r="P42" s="20">
        <f>(M42+(N42/10)+(O42*2))/3</f>
        <v>8.6</v>
      </c>
      <c r="Q42" s="20">
        <f>(M42+C42+(N42/10)+(O42*2))/4</f>
        <v>8.6515000000000004</v>
      </c>
      <c r="R42" s="20">
        <f>(M42+C42+(N42/10))/3</f>
        <v>8.8686666666666678</v>
      </c>
      <c r="S42" s="27">
        <f>IF(C42 &gt; 9.25, 10, IF(C42 &gt; 6.75, ROUND(C42, 0), MAX(1, FLOOR(C42, 1))))</f>
        <v>9</v>
      </c>
      <c r="T42" s="20">
        <f>S42/2</f>
        <v>4.5</v>
      </c>
      <c r="U42" s="25">
        <v>46196</v>
      </c>
      <c r="V42">
        <v>1</v>
      </c>
      <c r="W42" s="25" t="s">
        <v>758</v>
      </c>
      <c r="X42">
        <v>181</v>
      </c>
      <c r="Y42" t="s">
        <v>911</v>
      </c>
      <c r="Z42" t="s">
        <v>907</v>
      </c>
      <c r="AA42" t="s">
        <v>1126</v>
      </c>
      <c r="AB42">
        <v>23</v>
      </c>
      <c r="AC42" s="24" t="s">
        <v>175</v>
      </c>
    </row>
    <row r="43" spans="1:29" x14ac:dyDescent="0.25">
      <c r="A43" s="4">
        <v>42</v>
      </c>
      <c r="B43" s="4" t="s">
        <v>1314</v>
      </c>
      <c r="C43" s="28">
        <v>8.8049999999999997</v>
      </c>
      <c r="D43" s="4">
        <v>2012</v>
      </c>
      <c r="E43" s="10" t="s">
        <v>20</v>
      </c>
      <c r="F43" s="10" t="s">
        <v>567</v>
      </c>
      <c r="G43" s="10" t="s">
        <v>1296</v>
      </c>
      <c r="H43" s="10" t="s">
        <v>1315</v>
      </c>
      <c r="I43" s="10" t="s">
        <v>20</v>
      </c>
      <c r="J43" s="10" t="s">
        <v>209</v>
      </c>
      <c r="K43" s="10" t="s">
        <v>227</v>
      </c>
      <c r="L43" s="10" t="s">
        <v>217</v>
      </c>
      <c r="M43" s="4">
        <v>7.7</v>
      </c>
      <c r="N43" s="4">
        <v>96</v>
      </c>
      <c r="O43" s="4">
        <v>3.8</v>
      </c>
      <c r="P43" s="20">
        <f>(M43+(N43/10)+(O43*2))/3</f>
        <v>8.2999999999999989</v>
      </c>
      <c r="Q43" s="20">
        <f>(M43+C43+(N43/10)+(O43*2))/4</f>
        <v>8.4262499999999996</v>
      </c>
      <c r="R43" s="20">
        <f>(M43+C43+(N43/10))/3</f>
        <v>8.7016666666666662</v>
      </c>
      <c r="S43" s="27">
        <f>IF(C43 &gt; 9.25, 10, IF(C43 &gt; 6.75, ROUND(C43, 0), MAX(1, FLOOR(C43, 1))))</f>
        <v>9</v>
      </c>
      <c r="T43" s="20">
        <f>S43/2</f>
        <v>4.5</v>
      </c>
      <c r="U43" s="25">
        <v>46237</v>
      </c>
      <c r="V43">
        <v>1</v>
      </c>
      <c r="W43" s="25" t="s">
        <v>758</v>
      </c>
      <c r="X43">
        <v>120</v>
      </c>
      <c r="Y43" t="s">
        <v>911</v>
      </c>
      <c r="Z43" t="s">
        <v>907</v>
      </c>
      <c r="AC43" s="10">
        <v>104</v>
      </c>
    </row>
    <row r="44" spans="1:29" x14ac:dyDescent="0.25">
      <c r="A44" s="4">
        <v>43</v>
      </c>
      <c r="B44" s="4" t="s">
        <v>26</v>
      </c>
      <c r="C44" s="28">
        <v>8.8040000000000003</v>
      </c>
      <c r="D44" s="4">
        <v>2008</v>
      </c>
      <c r="E44" s="5" t="s">
        <v>10</v>
      </c>
      <c r="F44" s="5" t="s">
        <v>1174</v>
      </c>
      <c r="G44" s="5" t="s">
        <v>1181</v>
      </c>
      <c r="H44" s="5" t="s">
        <v>269</v>
      </c>
      <c r="I44" s="5" t="s">
        <v>36</v>
      </c>
      <c r="J44" s="5" t="s">
        <v>219</v>
      </c>
      <c r="M44" s="4">
        <v>6.9</v>
      </c>
      <c r="N44" s="4">
        <v>55</v>
      </c>
      <c r="O44" s="4">
        <v>3.5</v>
      </c>
      <c r="P44" s="20">
        <f>(M44+(N44/10)+(O44*2))/3</f>
        <v>6.4666666666666659</v>
      </c>
      <c r="Q44" s="20">
        <f>(M44+C44+(N44/10)+(O44*2))/4</f>
        <v>7.0510000000000002</v>
      </c>
      <c r="R44" s="20">
        <f>(M44+C44+(N44/10))/3</f>
        <v>7.0680000000000005</v>
      </c>
      <c r="S44" s="27">
        <f>IF(C44 &gt; 9.25, 10, IF(C44 &gt; 6.75, ROUND(C44, 0), MAX(1, FLOOR(C44, 1))))</f>
        <v>9</v>
      </c>
      <c r="T44" s="20">
        <f>S44/2</f>
        <v>4.5</v>
      </c>
      <c r="U44" s="25">
        <v>45912</v>
      </c>
      <c r="V44">
        <v>2</v>
      </c>
      <c r="W44" s="25" t="s">
        <v>758</v>
      </c>
      <c r="X44">
        <v>98</v>
      </c>
      <c r="Y44" t="s">
        <v>916</v>
      </c>
      <c r="Z44" t="s">
        <v>914</v>
      </c>
      <c r="AA44" s="25"/>
      <c r="AC44" s="23">
        <v>7.2030000000000003</v>
      </c>
    </row>
    <row r="45" spans="1:29" x14ac:dyDescent="0.25">
      <c r="A45" s="4">
        <v>44</v>
      </c>
      <c r="B45" s="4" t="s">
        <v>1066</v>
      </c>
      <c r="C45" s="28">
        <v>8.8030000000000008</v>
      </c>
      <c r="D45" s="4">
        <v>2023</v>
      </c>
      <c r="E45" s="10" t="s">
        <v>9</v>
      </c>
      <c r="F45" s="10" t="s">
        <v>526</v>
      </c>
      <c r="G45" s="10" t="s">
        <v>270</v>
      </c>
      <c r="H45" s="10" t="s">
        <v>82</v>
      </c>
      <c r="I45" s="10" t="s">
        <v>368</v>
      </c>
      <c r="J45" s="10" t="s">
        <v>208</v>
      </c>
      <c r="K45" s="10" t="s">
        <v>217</v>
      </c>
      <c r="L45" s="10" t="s">
        <v>222</v>
      </c>
      <c r="M45" s="4">
        <v>7.7</v>
      </c>
      <c r="N45" s="4">
        <v>96</v>
      </c>
      <c r="O45" s="4">
        <v>3.7</v>
      </c>
      <c r="P45" s="20">
        <f>(M45+(N45/10)+(O45*2))/3</f>
        <v>8.2333333333333343</v>
      </c>
      <c r="Q45" s="20">
        <f>(M45+C45+(N45/10)+(O45*2))/4</f>
        <v>8.37575</v>
      </c>
      <c r="R45" s="20">
        <f>(M45+C45+(N45/10))/3</f>
        <v>8.7010000000000005</v>
      </c>
      <c r="S45" s="27">
        <f>IF(C45 &gt; 9.25, 10, IF(C45 &gt; 6.75, ROUND(C45, 0), MAX(1, FLOOR(C45, 1))))</f>
        <v>9</v>
      </c>
      <c r="T45" s="20">
        <f>S45/2</f>
        <v>4.5</v>
      </c>
      <c r="U45" s="25">
        <v>46060</v>
      </c>
      <c r="V45">
        <v>2</v>
      </c>
      <c r="W45" s="25" t="s">
        <v>758</v>
      </c>
      <c r="X45">
        <v>163</v>
      </c>
      <c r="Y45" t="s">
        <v>911</v>
      </c>
      <c r="Z45" t="s">
        <v>825</v>
      </c>
      <c r="AA45" s="25" t="s">
        <v>81</v>
      </c>
      <c r="AB45">
        <v>7</v>
      </c>
      <c r="AC45" s="24" t="s">
        <v>903</v>
      </c>
    </row>
    <row r="46" spans="1:29" x14ac:dyDescent="0.25">
      <c r="A46" s="4">
        <v>45</v>
      </c>
      <c r="B46" s="4" t="s">
        <v>528</v>
      </c>
      <c r="C46" s="28">
        <v>8.8019999999999996</v>
      </c>
      <c r="D46" s="4">
        <v>2015</v>
      </c>
      <c r="E46" s="10" t="s">
        <v>9</v>
      </c>
      <c r="F46" s="10" t="s">
        <v>367</v>
      </c>
      <c r="G46" s="10" t="s">
        <v>270</v>
      </c>
      <c r="H46" s="10" t="s">
        <v>146</v>
      </c>
      <c r="I46" s="10" t="s">
        <v>368</v>
      </c>
      <c r="J46" s="10" t="s">
        <v>208</v>
      </c>
      <c r="K46" s="10" t="s">
        <v>217</v>
      </c>
      <c r="L46" s="10" t="s">
        <v>222</v>
      </c>
      <c r="M46" s="4">
        <v>7.4</v>
      </c>
      <c r="N46" s="4">
        <v>97</v>
      </c>
      <c r="O46" s="4">
        <v>3.8</v>
      </c>
      <c r="P46" s="20">
        <f>(M46+(N46/10)+(O46*2))/3</f>
        <v>8.2333333333333343</v>
      </c>
      <c r="Q46" s="20">
        <f>(M46+C46+(N46/10)+(O46*2))/4</f>
        <v>8.3754999999999988</v>
      </c>
      <c r="R46" s="20">
        <f>(M46+C46+(N46/10))/3</f>
        <v>8.6339999999999986</v>
      </c>
      <c r="S46" s="27">
        <f>IF(C46 &gt; 9.25, 10, IF(C46 &gt; 6.75, ROUND(C46, 0), MAX(1, FLOOR(C46, 1))))</f>
        <v>9</v>
      </c>
      <c r="T46" s="20">
        <f>S46/2</f>
        <v>4.5</v>
      </c>
      <c r="U46" s="25">
        <v>46046</v>
      </c>
      <c r="V46">
        <v>2</v>
      </c>
      <c r="W46" s="25" t="s">
        <v>758</v>
      </c>
      <c r="X46">
        <v>131</v>
      </c>
      <c r="Y46" t="s">
        <v>922</v>
      </c>
      <c r="Z46" t="s">
        <v>914</v>
      </c>
      <c r="AA46" s="25" t="s">
        <v>81</v>
      </c>
      <c r="AB46">
        <v>5</v>
      </c>
      <c r="AC46" s="10" t="s">
        <v>561</v>
      </c>
    </row>
    <row r="47" spans="1:29" x14ac:dyDescent="0.25">
      <c r="A47" s="4">
        <v>46</v>
      </c>
      <c r="B47" s="4" t="s">
        <v>1150</v>
      </c>
      <c r="C47" s="28">
        <v>8.8010000000000002</v>
      </c>
      <c r="D47" s="4">
        <v>1976</v>
      </c>
      <c r="E47" s="10" t="s">
        <v>1151</v>
      </c>
      <c r="F47" s="10" t="s">
        <v>1152</v>
      </c>
      <c r="G47" s="10" t="s">
        <v>1153</v>
      </c>
      <c r="H47" s="10" t="s">
        <v>1156</v>
      </c>
      <c r="I47" s="10" t="s">
        <v>1154</v>
      </c>
      <c r="J47" s="10" t="s">
        <v>210</v>
      </c>
      <c r="K47" s="10" t="s">
        <v>209</v>
      </c>
      <c r="L47" s="10" t="s">
        <v>1155</v>
      </c>
      <c r="M47" s="4">
        <v>8.1</v>
      </c>
      <c r="N47" s="4">
        <v>93</v>
      </c>
      <c r="O47" s="4">
        <v>4.0999999999999996</v>
      </c>
      <c r="P47" s="20">
        <f>(M47+(N47/10)+(O47*2))/3</f>
        <v>8.5333333333333332</v>
      </c>
      <c r="Q47" s="20">
        <f>(M47+C47+(N47/10)+(O47*2))/4</f>
        <v>8.6002499999999991</v>
      </c>
      <c r="R47" s="20">
        <f>(M47+C47+(N47/10))/3</f>
        <v>8.7336666666666662</v>
      </c>
      <c r="S47" s="27">
        <f>IF(C47 &gt; 9.25, 10, IF(C47 &gt; 6.75, ROUND(C47, 0), MAX(1, FLOOR(C47, 1))))</f>
        <v>9</v>
      </c>
      <c r="T47" s="20">
        <f>S47/2</f>
        <v>4.5</v>
      </c>
      <c r="U47" s="25">
        <v>46189</v>
      </c>
      <c r="V47">
        <v>1</v>
      </c>
      <c r="W47" s="25" t="s">
        <v>758</v>
      </c>
      <c r="X47">
        <v>120</v>
      </c>
      <c r="Y47" t="s">
        <v>911</v>
      </c>
      <c r="Z47" t="s">
        <v>907</v>
      </c>
      <c r="AA47" t="s">
        <v>1150</v>
      </c>
      <c r="AB47">
        <v>1</v>
      </c>
    </row>
    <row r="48" spans="1:29" x14ac:dyDescent="0.25">
      <c r="A48" s="4">
        <v>47</v>
      </c>
      <c r="B48" s="4" t="s">
        <v>481</v>
      </c>
      <c r="C48" s="28">
        <v>8.7059999999999995</v>
      </c>
      <c r="D48" s="4">
        <v>1990</v>
      </c>
      <c r="E48" s="5" t="s">
        <v>9</v>
      </c>
      <c r="F48" s="10" t="s">
        <v>482</v>
      </c>
      <c r="G48" s="10" t="s">
        <v>335</v>
      </c>
      <c r="H48" s="10" t="s">
        <v>483</v>
      </c>
      <c r="I48" s="10" t="s">
        <v>39</v>
      </c>
      <c r="J48" s="10" t="s">
        <v>648</v>
      </c>
      <c r="K48" s="10" t="s">
        <v>208</v>
      </c>
      <c r="L48" s="10" t="s">
        <v>209</v>
      </c>
      <c r="M48" s="4">
        <v>6.1</v>
      </c>
      <c r="N48" s="4">
        <v>38</v>
      </c>
      <c r="O48" s="4">
        <v>3.1</v>
      </c>
      <c r="P48" s="20">
        <f>(M48+(N48/10)+(O48*2))/3</f>
        <v>5.3666666666666663</v>
      </c>
      <c r="Q48" s="20">
        <f>(M48+C48+(N48/10)+(O48*2))/4</f>
        <v>6.2014999999999993</v>
      </c>
      <c r="R48" s="20">
        <f>(M48+C48+(N48/10))/3</f>
        <v>6.2019999999999991</v>
      </c>
      <c r="S48" s="27">
        <f>IF(C48 &gt; 9.25, 10, IF(C48 &gt; 6.75, ROUND(C48, 0), MAX(1, FLOOR(C48, 1))))</f>
        <v>9</v>
      </c>
      <c r="T48" s="20">
        <f>S48/2</f>
        <v>4.5</v>
      </c>
      <c r="U48" s="25">
        <v>46114</v>
      </c>
      <c r="V48">
        <v>2</v>
      </c>
      <c r="W48" s="25" t="s">
        <v>758</v>
      </c>
      <c r="X48">
        <v>107</v>
      </c>
      <c r="Y48" t="s">
        <v>911</v>
      </c>
      <c r="Z48" t="s">
        <v>907</v>
      </c>
      <c r="AA48" s="25"/>
    </row>
    <row r="49" spans="1:28" x14ac:dyDescent="0.25">
      <c r="A49" s="4">
        <v>48</v>
      </c>
      <c r="B49" s="4" t="s">
        <v>7</v>
      </c>
      <c r="C49" s="28">
        <v>8.7050000000000001</v>
      </c>
      <c r="D49" s="4">
        <v>1986</v>
      </c>
      <c r="E49" s="5" t="s">
        <v>9</v>
      </c>
      <c r="F49" s="5" t="s">
        <v>1173</v>
      </c>
      <c r="G49" s="5" t="s">
        <v>255</v>
      </c>
      <c r="H49" s="5" t="s">
        <v>28</v>
      </c>
      <c r="I49" s="5" t="s">
        <v>39</v>
      </c>
      <c r="J49" s="5" t="s">
        <v>208</v>
      </c>
      <c r="K49" s="5" t="s">
        <v>209</v>
      </c>
      <c r="L49" s="5" t="s">
        <v>226</v>
      </c>
      <c r="M49" s="4">
        <v>6.9</v>
      </c>
      <c r="N49" s="4">
        <v>54</v>
      </c>
      <c r="O49" s="4">
        <v>3.5</v>
      </c>
      <c r="P49" s="20">
        <f>(M49+(N49/10)+(O49*2))/3</f>
        <v>6.4333333333333336</v>
      </c>
      <c r="Q49" s="20">
        <f>(M49+C49+(N49/10)+(O49*2))/4</f>
        <v>7.0012500000000006</v>
      </c>
      <c r="R49" s="20">
        <f>(M49+C49+(N49/10))/3</f>
        <v>7.0016666666666678</v>
      </c>
      <c r="S49" s="27">
        <f>IF(C49 &gt; 9.25, 10, IF(C49 &gt; 6.75, ROUND(C49, 0), MAX(1, FLOOR(C49, 1))))</f>
        <v>9</v>
      </c>
      <c r="T49" s="20">
        <f>S49/2</f>
        <v>4.5</v>
      </c>
      <c r="U49" s="25">
        <v>46075</v>
      </c>
      <c r="V49">
        <v>2</v>
      </c>
      <c r="W49" s="25" t="s">
        <v>758</v>
      </c>
      <c r="X49">
        <v>109</v>
      </c>
      <c r="Y49" t="s">
        <v>922</v>
      </c>
      <c r="Z49" t="s">
        <v>914</v>
      </c>
      <c r="AA49" s="25" t="s">
        <v>7</v>
      </c>
      <c r="AB49">
        <v>1</v>
      </c>
    </row>
    <row r="50" spans="1:28" x14ac:dyDescent="0.25">
      <c r="A50" s="4">
        <v>49</v>
      </c>
      <c r="B50" s="4" t="s">
        <v>580</v>
      </c>
      <c r="C50" s="28">
        <v>8.7040000000000006</v>
      </c>
      <c r="D50" s="4">
        <v>2001</v>
      </c>
      <c r="E50" s="10" t="s">
        <v>581</v>
      </c>
      <c r="F50" s="10" t="s">
        <v>52</v>
      </c>
      <c r="G50" s="10" t="s">
        <v>19</v>
      </c>
      <c r="H50" s="10" t="s">
        <v>582</v>
      </c>
      <c r="I50" s="10" t="s">
        <v>583</v>
      </c>
      <c r="J50" s="10" t="s">
        <v>215</v>
      </c>
      <c r="K50" s="10" t="s">
        <v>217</v>
      </c>
      <c r="L50" s="10"/>
      <c r="M50" s="4">
        <v>7.7</v>
      </c>
      <c r="N50" s="4">
        <v>83</v>
      </c>
      <c r="O50" s="4">
        <v>3.9</v>
      </c>
      <c r="P50" s="20">
        <f>(M50+(N50/10)+(O50*2))/3</f>
        <v>7.9333333333333336</v>
      </c>
      <c r="Q50" s="20">
        <f>(M50+C50+(N50/10)+(O50*2))/4</f>
        <v>8.1259999999999994</v>
      </c>
      <c r="R50" s="20">
        <f>(M50+C50+(N50/10))/3</f>
        <v>8.2346666666666675</v>
      </c>
      <c r="S50" s="27">
        <f>IF(C50 &gt; 9.25, 10, IF(C50 &gt; 6.75, ROUND(C50, 0), MAX(1, FLOOR(C50, 1))))</f>
        <v>9</v>
      </c>
      <c r="T50" s="20">
        <f>S50/2</f>
        <v>4.5</v>
      </c>
      <c r="U50" s="25">
        <v>45431</v>
      </c>
      <c r="V50">
        <v>1</v>
      </c>
      <c r="W50" s="25" t="s">
        <v>758</v>
      </c>
      <c r="X50">
        <v>116</v>
      </c>
      <c r="Y50" t="s">
        <v>911</v>
      </c>
      <c r="Z50" t="s">
        <v>825</v>
      </c>
      <c r="AA50" s="25" t="s">
        <v>991</v>
      </c>
      <c r="AB50">
        <v>1</v>
      </c>
    </row>
    <row r="51" spans="1:28" x14ac:dyDescent="0.25">
      <c r="A51" s="4">
        <v>50</v>
      </c>
      <c r="B51" s="4" t="s">
        <v>1051</v>
      </c>
      <c r="C51" s="28">
        <v>8.7029999999999994</v>
      </c>
      <c r="D51" s="4">
        <v>2026</v>
      </c>
      <c r="E51" s="10" t="s">
        <v>576</v>
      </c>
      <c r="F51" s="10" t="s">
        <v>1052</v>
      </c>
      <c r="G51" s="10" t="s">
        <v>1053</v>
      </c>
      <c r="H51" s="10" t="s">
        <v>1054</v>
      </c>
      <c r="I51" s="10" t="s">
        <v>50</v>
      </c>
      <c r="J51" s="10" t="s">
        <v>223</v>
      </c>
      <c r="K51" s="10" t="s">
        <v>219</v>
      </c>
      <c r="L51" s="10" t="s">
        <v>222</v>
      </c>
      <c r="M51" s="4">
        <v>8.4</v>
      </c>
      <c r="N51" s="4">
        <v>94</v>
      </c>
      <c r="O51" s="4">
        <v>4.3</v>
      </c>
      <c r="P51" s="20">
        <f>(M51+(N51/10)+(O51*2))/3</f>
        <v>8.7999999999999989</v>
      </c>
      <c r="Q51" s="20">
        <f>(M51+C51+(N51/10)+(O51*2))/4</f>
        <v>8.7757500000000004</v>
      </c>
      <c r="R51" s="20">
        <f>(M51+C51+(N51/10))/3</f>
        <v>8.8343333333333334</v>
      </c>
      <c r="S51" s="27">
        <f>IF(C51 &gt; 9.25, 10, IF(C51 &gt; 6.75, ROUND(C51, 0), MAX(1, FLOOR(C51, 1))))</f>
        <v>9</v>
      </c>
      <c r="T51" s="20">
        <f>S51/2</f>
        <v>4.5</v>
      </c>
      <c r="U51" s="25">
        <v>46126</v>
      </c>
      <c r="V51">
        <v>1</v>
      </c>
      <c r="W51" s="25" t="s">
        <v>758</v>
      </c>
      <c r="X51">
        <v>156</v>
      </c>
      <c r="Y51" t="s">
        <v>911</v>
      </c>
      <c r="Z51" t="s">
        <v>915</v>
      </c>
    </row>
    <row r="52" spans="1:28" x14ac:dyDescent="0.25">
      <c r="A52" s="4">
        <v>51</v>
      </c>
      <c r="B52" s="4" t="s">
        <v>76</v>
      </c>
      <c r="C52" s="28">
        <v>8.702</v>
      </c>
      <c r="D52" s="4">
        <v>2006</v>
      </c>
      <c r="E52" s="5" t="s">
        <v>77</v>
      </c>
      <c r="F52" s="10" t="s">
        <v>78</v>
      </c>
      <c r="G52" s="10" t="s">
        <v>287</v>
      </c>
      <c r="H52" s="10" t="s">
        <v>288</v>
      </c>
      <c r="I52" s="5" t="s">
        <v>79</v>
      </c>
      <c r="J52" s="10" t="s">
        <v>208</v>
      </c>
      <c r="K52" s="10" t="s">
        <v>217</v>
      </c>
      <c r="L52" s="10" t="s">
        <v>222</v>
      </c>
      <c r="M52" s="4">
        <v>8</v>
      </c>
      <c r="N52" s="4">
        <v>94</v>
      </c>
      <c r="O52" s="4">
        <v>4</v>
      </c>
      <c r="P52" s="20">
        <f>(M52+(N52/10)+(O52*2))/3</f>
        <v>8.4666666666666668</v>
      </c>
      <c r="Q52" s="20">
        <f>(M52+C52+(N52/10)+(O52*2))/4</f>
        <v>8.5254999999999992</v>
      </c>
      <c r="R52" s="20">
        <f>(M52+C52+(N52/10))/3</f>
        <v>8.700666666666665</v>
      </c>
      <c r="S52" s="27">
        <f>IF(C52 &gt; 9.25, 10, IF(C52 &gt; 6.75, ROUND(C52, 0), MAX(1, FLOOR(C52, 1))))</f>
        <v>9</v>
      </c>
      <c r="T52" s="20">
        <f>S52/2</f>
        <v>4.5</v>
      </c>
      <c r="U52" s="25">
        <v>44742</v>
      </c>
      <c r="V52">
        <v>1</v>
      </c>
      <c r="W52" s="25" t="s">
        <v>758</v>
      </c>
      <c r="X52">
        <v>144</v>
      </c>
      <c r="Y52" t="s">
        <v>911</v>
      </c>
      <c r="Z52" t="s">
        <v>825</v>
      </c>
      <c r="AA52" s="25" t="s">
        <v>990</v>
      </c>
      <c r="AB52">
        <v>21</v>
      </c>
    </row>
    <row r="53" spans="1:28" x14ac:dyDescent="0.25">
      <c r="A53" s="4">
        <v>52</v>
      </c>
      <c r="B53" s="4" t="s">
        <v>1037</v>
      </c>
      <c r="C53" s="28">
        <v>8.7010000000000005</v>
      </c>
      <c r="D53" s="4">
        <v>1975</v>
      </c>
      <c r="E53" s="10" t="s">
        <v>1038</v>
      </c>
      <c r="F53" s="10" t="s">
        <v>1039</v>
      </c>
      <c r="G53" s="10" t="s">
        <v>1040</v>
      </c>
      <c r="H53" s="10" t="s">
        <v>1041</v>
      </c>
      <c r="I53" s="10" t="s">
        <v>64</v>
      </c>
      <c r="J53" s="10" t="s">
        <v>217</v>
      </c>
      <c r="K53" s="10" t="s">
        <v>209</v>
      </c>
      <c r="L53" s="10" t="s">
        <v>586</v>
      </c>
      <c r="M53" s="4">
        <v>8.1</v>
      </c>
      <c r="N53" s="4">
        <v>97</v>
      </c>
      <c r="O53" s="4">
        <v>3.9</v>
      </c>
      <c r="P53" s="20">
        <f>(M53+(N53/10)+(O53*2))/3</f>
        <v>8.5333333333333332</v>
      </c>
      <c r="Q53" s="20">
        <f>(M53+C53+(N53/10)+(O53*2))/4</f>
        <v>8.5752500000000005</v>
      </c>
      <c r="R53" s="20">
        <f>(M53+C53+(N53/10))/3</f>
        <v>8.8336666666666677</v>
      </c>
      <c r="S53" s="27">
        <f>IF(C53 &gt; 9.25, 10, IF(C53 &gt; 6.75, ROUND(C53, 0), MAX(1, FLOOR(C53, 1))))</f>
        <v>9</v>
      </c>
      <c r="T53" s="20">
        <f>S53/2</f>
        <v>4.5</v>
      </c>
      <c r="U53" s="25">
        <v>46114</v>
      </c>
      <c r="V53">
        <v>1</v>
      </c>
      <c r="W53" s="25" t="s">
        <v>758</v>
      </c>
      <c r="X53">
        <v>124</v>
      </c>
      <c r="Y53" t="s">
        <v>911</v>
      </c>
      <c r="Z53" t="s">
        <v>917</v>
      </c>
    </row>
    <row r="54" spans="1:28" x14ac:dyDescent="0.25">
      <c r="A54" s="4">
        <v>53</v>
      </c>
      <c r="B54" s="4" t="s">
        <v>243</v>
      </c>
      <c r="C54" s="28">
        <v>8.6069999999999993</v>
      </c>
      <c r="D54" s="4">
        <v>2014</v>
      </c>
      <c r="E54" s="5" t="s">
        <v>27</v>
      </c>
      <c r="F54" s="10" t="s">
        <v>1175</v>
      </c>
      <c r="G54" s="10" t="s">
        <v>244</v>
      </c>
      <c r="H54" s="10" t="s">
        <v>245</v>
      </c>
      <c r="I54" s="10" t="s">
        <v>246</v>
      </c>
      <c r="J54" s="10" t="s">
        <v>247</v>
      </c>
      <c r="K54" s="10" t="s">
        <v>209</v>
      </c>
      <c r="M54" s="4">
        <v>8.5</v>
      </c>
      <c r="N54" s="4">
        <v>94</v>
      </c>
      <c r="O54" s="4">
        <v>4.4000000000000004</v>
      </c>
      <c r="P54" s="20">
        <f>(M54+(N54/10)+(O54*2))/3</f>
        <v>8.9</v>
      </c>
      <c r="Q54" s="20">
        <f>(M54+C54+(N54/10)+(O54*2))/4</f>
        <v>8.8267500000000005</v>
      </c>
      <c r="R54" s="20">
        <f>(M54+C54+(N54/10))/3</f>
        <v>8.8356666666666666</v>
      </c>
      <c r="S54" s="27">
        <f>IF(C54 &gt; 9.25, 10, IF(C54 &gt; 6.75, ROUND(C54, 0), MAX(1, FLOOR(C54, 1))))</f>
        <v>9</v>
      </c>
      <c r="T54" s="20">
        <f>S54/2</f>
        <v>4.5</v>
      </c>
      <c r="U54" s="25">
        <v>46041</v>
      </c>
      <c r="V54">
        <v>2</v>
      </c>
      <c r="W54" s="25" t="s">
        <v>758</v>
      </c>
      <c r="X54">
        <v>106</v>
      </c>
      <c r="Y54" t="s">
        <v>918</v>
      </c>
      <c r="Z54" t="s">
        <v>914</v>
      </c>
      <c r="AA54" s="25"/>
    </row>
    <row r="55" spans="1:28" x14ac:dyDescent="0.25">
      <c r="A55" s="4">
        <v>54</v>
      </c>
      <c r="B55" s="4" t="s">
        <v>234</v>
      </c>
      <c r="C55" s="28">
        <v>8.6059999999999999</v>
      </c>
      <c r="D55" s="4">
        <v>1998</v>
      </c>
      <c r="E55" s="10" t="s">
        <v>19</v>
      </c>
      <c r="F55" s="10" t="s">
        <v>235</v>
      </c>
      <c r="G55" s="10" t="s">
        <v>236</v>
      </c>
      <c r="H55" s="10" t="s">
        <v>237</v>
      </c>
      <c r="I55" s="10" t="s">
        <v>238</v>
      </c>
      <c r="J55" s="5" t="s">
        <v>585</v>
      </c>
      <c r="K55" s="10" t="s">
        <v>215</v>
      </c>
      <c r="L55" s="10" t="s">
        <v>209</v>
      </c>
      <c r="M55" s="4">
        <v>7.3</v>
      </c>
      <c r="N55" s="4">
        <v>65</v>
      </c>
      <c r="O55" s="4">
        <v>3.6</v>
      </c>
      <c r="P55" s="20">
        <f>(M55+(N55/10)+(O55*2))/3</f>
        <v>7</v>
      </c>
      <c r="Q55" s="20">
        <f>(M55+C55+(N55/10)+(O55*2))/4</f>
        <v>7.4014999999999995</v>
      </c>
      <c r="R55" s="20">
        <f>(M55+C55+(N55/10))/3</f>
        <v>7.4686666666666666</v>
      </c>
      <c r="S55" s="27">
        <f>IF(C55 &gt; 9.25, 10, IF(C55 &gt; 6.75, ROUND(C55, 0), MAX(1, FLOOR(C55, 1))))</f>
        <v>9</v>
      </c>
      <c r="T55" s="20">
        <f>S55/2</f>
        <v>4.5</v>
      </c>
      <c r="U55" s="25">
        <v>45806</v>
      </c>
      <c r="V55">
        <v>2</v>
      </c>
      <c r="W55" s="25" t="s">
        <v>758</v>
      </c>
      <c r="X55">
        <v>121</v>
      </c>
      <c r="Y55" t="s">
        <v>911</v>
      </c>
      <c r="Z55" t="s">
        <v>825</v>
      </c>
      <c r="AA55" s="25"/>
    </row>
    <row r="56" spans="1:28" x14ac:dyDescent="0.25">
      <c r="A56" s="4">
        <v>55</v>
      </c>
      <c r="B56" s="4" t="s">
        <v>516</v>
      </c>
      <c r="C56" s="28">
        <v>8.6050000000000004</v>
      </c>
      <c r="D56" s="4">
        <v>1997</v>
      </c>
      <c r="E56" s="5" t="s">
        <v>517</v>
      </c>
      <c r="F56" s="10" t="s">
        <v>422</v>
      </c>
      <c r="G56" s="10" t="s">
        <v>53</v>
      </c>
      <c r="H56" s="10" t="s">
        <v>518</v>
      </c>
      <c r="I56" s="10" t="s">
        <v>519</v>
      </c>
      <c r="J56" s="10" t="s">
        <v>215</v>
      </c>
      <c r="K56" s="10" t="s">
        <v>209</v>
      </c>
      <c r="L56" s="10" t="s">
        <v>216</v>
      </c>
      <c r="M56" s="4">
        <v>8.1999999999999993</v>
      </c>
      <c r="N56" s="4">
        <v>99</v>
      </c>
      <c r="O56" s="4">
        <v>4.0999999999999996</v>
      </c>
      <c r="P56" s="20">
        <f>(M56+(N56/10)+(O56*2))/3</f>
        <v>8.7666666666666675</v>
      </c>
      <c r="Q56" s="20">
        <f>(M56+C56+(N56/10)+(O56*2))/4</f>
        <v>8.7262500000000003</v>
      </c>
      <c r="R56" s="20">
        <f>(M56+C56+(N56/10))/3</f>
        <v>8.9016666666666655</v>
      </c>
      <c r="S56" s="27">
        <f>IF(C56 &gt; 9.25, 10, IF(C56 &gt; 6.75, ROUND(C56, 0), MAX(1, FLOOR(C56, 1))))</f>
        <v>9</v>
      </c>
      <c r="T56" s="20">
        <f>S56/2</f>
        <v>4.5</v>
      </c>
      <c r="U56" s="25">
        <v>45331</v>
      </c>
      <c r="V56">
        <v>1</v>
      </c>
      <c r="W56" s="25" t="s">
        <v>758</v>
      </c>
      <c r="X56">
        <v>138</v>
      </c>
      <c r="Y56" t="s">
        <v>911</v>
      </c>
      <c r="Z56" t="s">
        <v>825</v>
      </c>
      <c r="AA56" s="25"/>
    </row>
    <row r="57" spans="1:28" x14ac:dyDescent="0.25">
      <c r="A57" s="4">
        <v>56</v>
      </c>
      <c r="B57" s="4" t="s">
        <v>944</v>
      </c>
      <c r="C57" s="28">
        <v>8.6039999999999992</v>
      </c>
      <c r="D57" s="4">
        <v>1999</v>
      </c>
      <c r="E57" s="10" t="s">
        <v>63</v>
      </c>
      <c r="F57" s="10" t="s">
        <v>945</v>
      </c>
      <c r="G57" s="10" t="s">
        <v>946</v>
      </c>
      <c r="H57" s="10" t="s">
        <v>518</v>
      </c>
      <c r="I57" s="10" t="s">
        <v>233</v>
      </c>
      <c r="J57" s="10" t="s">
        <v>216</v>
      </c>
      <c r="K57" s="10" t="s">
        <v>209</v>
      </c>
      <c r="L57" t="s">
        <v>671</v>
      </c>
      <c r="M57" s="4">
        <v>8.6</v>
      </c>
      <c r="N57" s="4">
        <v>78</v>
      </c>
      <c r="O57" s="4">
        <v>4.3</v>
      </c>
      <c r="P57" s="20">
        <f>(M57+(N57/10)+(O57*2))/3</f>
        <v>8.3333333333333339</v>
      </c>
      <c r="Q57" s="20">
        <f>(M57+C57+(N57/10)+(O57*2))/4</f>
        <v>8.4009999999999998</v>
      </c>
      <c r="R57" s="20">
        <f>(M57+C57+(N57/10))/3</f>
        <v>8.3346666666666671</v>
      </c>
      <c r="S57" s="27">
        <f>IF(C57 &gt; 9.25, 10, IF(C57 &gt; 6.75, ROUND(C57, 0), MAX(1, FLOOR(C57, 1))))</f>
        <v>9</v>
      </c>
      <c r="T57" s="20">
        <f>S57/2</f>
        <v>4.5</v>
      </c>
      <c r="U57" s="25">
        <v>46051</v>
      </c>
      <c r="V57">
        <v>1</v>
      </c>
      <c r="W57" s="25" t="s">
        <v>758</v>
      </c>
      <c r="X57">
        <v>189</v>
      </c>
      <c r="Y57" t="s">
        <v>911</v>
      </c>
      <c r="Z57" t="s">
        <v>907</v>
      </c>
      <c r="AA57" s="25"/>
    </row>
    <row r="58" spans="1:28" x14ac:dyDescent="0.25">
      <c r="A58" s="4">
        <v>57</v>
      </c>
      <c r="B58" s="4" t="s">
        <v>1275</v>
      </c>
      <c r="C58" s="28">
        <v>8.6029999999999998</v>
      </c>
      <c r="D58" s="4">
        <v>1993</v>
      </c>
      <c r="E58" s="10" t="s">
        <v>1266</v>
      </c>
      <c r="F58" s="10" t="s">
        <v>1267</v>
      </c>
      <c r="G58" s="10" t="s">
        <v>1268</v>
      </c>
      <c r="H58" s="10" t="s">
        <v>1269</v>
      </c>
      <c r="I58" s="10" t="s">
        <v>64</v>
      </c>
      <c r="J58" s="10" t="s">
        <v>222</v>
      </c>
      <c r="K58" t="s">
        <v>223</v>
      </c>
      <c r="M58" s="4">
        <v>8.1999999999999993</v>
      </c>
      <c r="N58" s="4">
        <v>91</v>
      </c>
      <c r="O58" s="4">
        <v>4.0999999999999996</v>
      </c>
      <c r="P58" s="20">
        <f>(M58+(N58/10)+(O58*2))/3</f>
        <v>8.4999999999999982</v>
      </c>
      <c r="Q58" s="20">
        <f>(M58+C58+(N58/10)+(O58*2))/4</f>
        <v>8.5257499999999986</v>
      </c>
      <c r="R58" s="20">
        <f>(M58+C58+(N58/10))/3</f>
        <v>8.6343333333333323</v>
      </c>
      <c r="S58" s="27">
        <f>IF(C58 &gt; 9.25, 10, IF(C58 &gt; 6.75, ROUND(C58, 0), MAX(1, FLOOR(C58, 1))))</f>
        <v>9</v>
      </c>
      <c r="T58" s="20">
        <f>S58/2</f>
        <v>4.5</v>
      </c>
      <c r="U58" s="25">
        <v>46219</v>
      </c>
      <c r="V58">
        <v>1</v>
      </c>
      <c r="W58" s="25" t="s">
        <v>758</v>
      </c>
      <c r="X58">
        <v>127</v>
      </c>
      <c r="Y58" t="s">
        <v>918</v>
      </c>
      <c r="Z58" t="s">
        <v>914</v>
      </c>
      <c r="AA58" t="s">
        <v>1265</v>
      </c>
      <c r="AB58">
        <v>1</v>
      </c>
    </row>
    <row r="59" spans="1:28" x14ac:dyDescent="0.25">
      <c r="A59" s="4">
        <v>58</v>
      </c>
      <c r="B59" s="4" t="s">
        <v>846</v>
      </c>
      <c r="C59" s="28">
        <v>8.6020000000000003</v>
      </c>
      <c r="D59" s="4">
        <v>2025</v>
      </c>
      <c r="E59" s="10" t="s">
        <v>52</v>
      </c>
      <c r="F59" s="10" t="s">
        <v>900</v>
      </c>
      <c r="G59" s="10" t="s">
        <v>899</v>
      </c>
      <c r="H59" s="10" t="s">
        <v>455</v>
      </c>
      <c r="I59" s="10" t="s">
        <v>1207</v>
      </c>
      <c r="J59" s="10" t="s">
        <v>648</v>
      </c>
      <c r="K59" s="10" t="s">
        <v>209</v>
      </c>
      <c r="L59" s="10" t="s">
        <v>208</v>
      </c>
      <c r="M59" s="4">
        <v>7.7</v>
      </c>
      <c r="N59" s="4">
        <v>82</v>
      </c>
      <c r="O59" s="4">
        <v>3.7</v>
      </c>
      <c r="P59" s="20">
        <f>(M59+(N59/10)+(O59*2))/3</f>
        <v>7.7666666666666657</v>
      </c>
      <c r="Q59" s="20">
        <f>(M59+C59+(N59/10)+(O59*2))/4</f>
        <v>7.9755000000000003</v>
      </c>
      <c r="R59" s="20">
        <f>(M59+C59+(N59/10))/3</f>
        <v>8.1673333333333336</v>
      </c>
      <c r="S59" s="27">
        <f>IF(C59 &gt; 9.25, 10, IF(C59 &gt; 6.75, ROUND(C59, 0), MAX(1, FLOOR(C59, 1))))</f>
        <v>9</v>
      </c>
      <c r="T59" s="20">
        <f>S59/2</f>
        <v>4.5</v>
      </c>
      <c r="U59" s="25">
        <v>46025</v>
      </c>
      <c r="V59">
        <v>1</v>
      </c>
      <c r="W59" s="25" t="s">
        <v>758</v>
      </c>
      <c r="X59">
        <v>155</v>
      </c>
      <c r="Y59" t="s">
        <v>911</v>
      </c>
      <c r="Z59" t="s">
        <v>907</v>
      </c>
      <c r="AA59" s="25"/>
    </row>
    <row r="60" spans="1:28" x14ac:dyDescent="0.25">
      <c r="A60" s="4">
        <v>59</v>
      </c>
      <c r="B60" s="4" t="s">
        <v>48</v>
      </c>
      <c r="C60" s="28">
        <v>8.6010000000000009</v>
      </c>
      <c r="D60" s="4">
        <v>2012</v>
      </c>
      <c r="E60" s="5" t="s">
        <v>49</v>
      </c>
      <c r="F60" s="5" t="s">
        <v>13</v>
      </c>
      <c r="G60" s="5" t="s">
        <v>256</v>
      </c>
      <c r="H60" s="5" t="s">
        <v>1044</v>
      </c>
      <c r="I60" s="5" t="s">
        <v>50</v>
      </c>
      <c r="J60" s="5" t="s">
        <v>219</v>
      </c>
      <c r="K60" s="5"/>
      <c r="L60" s="5"/>
      <c r="M60" s="4">
        <v>7.2</v>
      </c>
      <c r="N60" s="4">
        <v>84</v>
      </c>
      <c r="O60" s="4">
        <v>3.6</v>
      </c>
      <c r="P60" s="20">
        <f>(M60+(N60/10)+(O60*2))/3</f>
        <v>7.6000000000000005</v>
      </c>
      <c r="Q60" s="20">
        <f>(M60+C60+(N60/10)+(O60*2))/4</f>
        <v>7.85025</v>
      </c>
      <c r="R60" s="20">
        <f>(M60+C60+(N60/10))/3</f>
        <v>8.0670000000000002</v>
      </c>
      <c r="S60" s="27">
        <f>IF(C60 &gt; 9.25, 10, IF(C60 &gt; 6.75, ROUND(C60, 0), MAX(1, FLOOR(C60, 1))))</f>
        <v>9</v>
      </c>
      <c r="T60" s="20">
        <f>S60/2</f>
        <v>4.5</v>
      </c>
      <c r="U60" s="25">
        <v>46169</v>
      </c>
      <c r="V60">
        <v>2</v>
      </c>
      <c r="W60" s="25" t="s">
        <v>758</v>
      </c>
      <c r="X60">
        <v>109</v>
      </c>
      <c r="Y60" t="s">
        <v>911</v>
      </c>
      <c r="Z60" t="s">
        <v>907</v>
      </c>
      <c r="AA60" s="25"/>
    </row>
    <row r="61" spans="1:28" x14ac:dyDescent="0.25">
      <c r="A61" s="4">
        <v>60</v>
      </c>
      <c r="B61" s="4" t="s">
        <v>938</v>
      </c>
      <c r="C61" s="28">
        <v>8.5069999999999997</v>
      </c>
      <c r="D61" s="4">
        <v>2002</v>
      </c>
      <c r="E61" s="10" t="s">
        <v>109</v>
      </c>
      <c r="F61" s="10" t="s">
        <v>939</v>
      </c>
      <c r="G61" s="10" t="s">
        <v>364</v>
      </c>
      <c r="H61" s="10" t="s">
        <v>940</v>
      </c>
      <c r="I61" s="10" t="s">
        <v>764</v>
      </c>
      <c r="J61" s="10" t="s">
        <v>208</v>
      </c>
      <c r="K61" s="10" t="s">
        <v>223</v>
      </c>
      <c r="L61" t="s">
        <v>951</v>
      </c>
      <c r="M61" s="4">
        <v>7.4</v>
      </c>
      <c r="N61" s="4">
        <v>90</v>
      </c>
      <c r="O61" s="4">
        <v>3.8</v>
      </c>
      <c r="P61" s="20">
        <f>(M61+(N61/10)+(O61*2))/3</f>
        <v>8</v>
      </c>
      <c r="Q61" s="20">
        <f>(M61+C61+(N61/10)+(O61*2))/4</f>
        <v>8.1267499999999995</v>
      </c>
      <c r="R61" s="20">
        <f>(M61+C61+(N61/10))/3</f>
        <v>8.3023333333333333</v>
      </c>
      <c r="S61" s="27">
        <f>IF(C61 &gt; 9.25, 10, IF(C61 &gt; 6.75, ROUND(C61, 0), MAX(1, FLOOR(C61, 1))))</f>
        <v>9</v>
      </c>
      <c r="T61" s="20">
        <f>S61/2</f>
        <v>4.5</v>
      </c>
      <c r="U61" s="25">
        <v>46048</v>
      </c>
      <c r="V61">
        <v>1</v>
      </c>
      <c r="W61" s="25" t="s">
        <v>758</v>
      </c>
      <c r="X61">
        <v>121</v>
      </c>
      <c r="Y61" t="s">
        <v>911</v>
      </c>
      <c r="Z61" t="s">
        <v>907</v>
      </c>
      <c r="AA61" s="25" t="s">
        <v>938</v>
      </c>
      <c r="AB61">
        <v>1</v>
      </c>
    </row>
    <row r="62" spans="1:28" x14ac:dyDescent="0.25">
      <c r="A62" s="4">
        <v>61</v>
      </c>
      <c r="B62" s="4" t="s">
        <v>65</v>
      </c>
      <c r="C62" s="28">
        <v>8.5060000000000002</v>
      </c>
      <c r="D62" s="4">
        <v>2017</v>
      </c>
      <c r="E62" s="5" t="s">
        <v>66</v>
      </c>
      <c r="F62" s="5" t="s">
        <v>67</v>
      </c>
      <c r="G62" s="5" t="s">
        <v>266</v>
      </c>
      <c r="H62" s="5" t="s">
        <v>70</v>
      </c>
      <c r="I62" s="5" t="s">
        <v>68</v>
      </c>
      <c r="J62" s="5" t="s">
        <v>585</v>
      </c>
      <c r="K62" s="5" t="s">
        <v>215</v>
      </c>
      <c r="L62" s="5" t="s">
        <v>209</v>
      </c>
      <c r="M62" s="4">
        <v>7.4</v>
      </c>
      <c r="N62" s="4">
        <v>81</v>
      </c>
      <c r="O62" s="4">
        <v>3.6</v>
      </c>
      <c r="P62" s="20">
        <f>(M62+(N62/10)+(O62*2))/3</f>
        <v>7.5666666666666664</v>
      </c>
      <c r="Q62" s="20">
        <f>(M62+C62+(N62/10)+(O62*2))/4</f>
        <v>7.8014999999999999</v>
      </c>
      <c r="R62" s="20">
        <f>(M62+C62+(N62/10))/3</f>
        <v>8.0020000000000007</v>
      </c>
      <c r="S62" s="27">
        <f>IF(C62 &gt; 9.25, 10, IF(C62 &gt; 6.75, ROUND(C62, 0), MAX(1, FLOOR(C62, 1))))</f>
        <v>9</v>
      </c>
      <c r="T62" s="20">
        <f>S62/2</f>
        <v>4.5</v>
      </c>
      <c r="U62" s="25">
        <v>44770</v>
      </c>
      <c r="V62">
        <v>1</v>
      </c>
      <c r="W62" s="25" t="s">
        <v>758</v>
      </c>
      <c r="X62">
        <v>140</v>
      </c>
      <c r="Y62" t="s">
        <v>911</v>
      </c>
      <c r="Z62" t="s">
        <v>921</v>
      </c>
      <c r="AA62" s="25"/>
    </row>
    <row r="63" spans="1:28" x14ac:dyDescent="0.25">
      <c r="A63" s="4">
        <v>62</v>
      </c>
      <c r="B63" s="4" t="s">
        <v>736</v>
      </c>
      <c r="C63" s="28">
        <v>8.5050000000000008</v>
      </c>
      <c r="D63" s="4">
        <v>1946</v>
      </c>
      <c r="E63" s="10" t="s">
        <v>299</v>
      </c>
      <c r="F63" s="10" t="s">
        <v>300</v>
      </c>
      <c r="G63" s="10" t="s">
        <v>301</v>
      </c>
      <c r="H63" s="10" t="s">
        <v>302</v>
      </c>
      <c r="I63" s="10" t="s">
        <v>107</v>
      </c>
      <c r="J63" t="s">
        <v>209</v>
      </c>
      <c r="K63" t="s">
        <v>221</v>
      </c>
      <c r="L63" s="10" t="s">
        <v>662</v>
      </c>
      <c r="M63" s="4">
        <v>8.6</v>
      </c>
      <c r="N63" s="4">
        <v>94</v>
      </c>
      <c r="O63" s="4">
        <v>4.4000000000000004</v>
      </c>
      <c r="P63" s="20">
        <f>(M63+(N63/10)+(O63*2))/3</f>
        <v>8.9333333333333336</v>
      </c>
      <c r="Q63" s="20">
        <f>(M63+C63+(N63/10)+(O63*2))/4</f>
        <v>8.8262500000000017</v>
      </c>
      <c r="R63" s="20">
        <f>(M63+C63+(N63/10))/3</f>
        <v>8.8350000000000009</v>
      </c>
      <c r="S63" s="27">
        <f>IF(C63 &gt; 9.25, 10, IF(C63 &gt; 6.75, ROUND(C63, 0), MAX(1, FLOOR(C63, 1))))</f>
        <v>9</v>
      </c>
      <c r="T63" s="20">
        <f>S63/2</f>
        <v>4.5</v>
      </c>
      <c r="U63" s="25">
        <v>44672</v>
      </c>
      <c r="V63">
        <v>1</v>
      </c>
      <c r="W63" s="25" t="s">
        <v>758</v>
      </c>
      <c r="X63">
        <v>130</v>
      </c>
      <c r="Y63" t="s">
        <v>911</v>
      </c>
      <c r="Z63" t="s">
        <v>920</v>
      </c>
      <c r="AA63" s="25"/>
    </row>
    <row r="64" spans="1:28" x14ac:dyDescent="0.25">
      <c r="A64" s="4">
        <v>63</v>
      </c>
      <c r="B64" s="4" t="s">
        <v>716</v>
      </c>
      <c r="C64" s="28">
        <v>8.5039999999999996</v>
      </c>
      <c r="D64" s="4">
        <v>2016</v>
      </c>
      <c r="E64" s="10" t="s">
        <v>788</v>
      </c>
      <c r="F64" s="10" t="s">
        <v>893</v>
      </c>
      <c r="G64" s="10" t="s">
        <v>91</v>
      </c>
      <c r="H64" s="10" t="s">
        <v>894</v>
      </c>
      <c r="I64" s="10" t="s">
        <v>715</v>
      </c>
      <c r="J64" s="10" t="s">
        <v>226</v>
      </c>
      <c r="K64" s="10" t="s">
        <v>209</v>
      </c>
      <c r="L64" s="10" t="s">
        <v>220</v>
      </c>
      <c r="M64" s="4">
        <v>8.1</v>
      </c>
      <c r="N64" s="4">
        <v>84</v>
      </c>
      <c r="O64" s="4">
        <v>4</v>
      </c>
      <c r="P64" s="20">
        <f>(M64+(N64/10)+(O64*2))/3</f>
        <v>8.1666666666666661</v>
      </c>
      <c r="Q64" s="20">
        <f>(M64+C64+(N64/10)+(O64*2))/4</f>
        <v>8.2509999999999994</v>
      </c>
      <c r="R64" s="20">
        <f>(M64+C64+(N64/10))/3</f>
        <v>8.3346666666666653</v>
      </c>
      <c r="S64" s="27">
        <f>IF(C64 &gt; 9.25, 10, IF(C64 &gt; 6.75, ROUND(C64, 0), MAX(1, FLOOR(C64, 1))))</f>
        <v>9</v>
      </c>
      <c r="T64" s="20">
        <f>S64/2</f>
        <v>4.5</v>
      </c>
      <c r="U64" s="25">
        <v>45953</v>
      </c>
      <c r="V64">
        <v>1</v>
      </c>
      <c r="W64" s="25" t="s">
        <v>758</v>
      </c>
      <c r="X64">
        <v>139</v>
      </c>
      <c r="Y64" t="s">
        <v>911</v>
      </c>
      <c r="Z64" t="s">
        <v>825</v>
      </c>
      <c r="AA64" s="25"/>
    </row>
    <row r="65" spans="1:28" x14ac:dyDescent="0.25">
      <c r="A65" s="4">
        <v>64</v>
      </c>
      <c r="B65" s="4" t="s">
        <v>1233</v>
      </c>
      <c r="C65" s="28">
        <v>8.5030000000000001</v>
      </c>
      <c r="D65" s="4">
        <v>2023</v>
      </c>
      <c r="E65" s="10" t="s">
        <v>513</v>
      </c>
      <c r="F65" s="10" t="s">
        <v>151</v>
      </c>
      <c r="G65" s="10" t="s">
        <v>1095</v>
      </c>
      <c r="H65" s="10" t="s">
        <v>1234</v>
      </c>
      <c r="I65" s="10" t="s">
        <v>1074</v>
      </c>
      <c r="J65" s="10" t="s">
        <v>208</v>
      </c>
      <c r="K65" s="10" t="s">
        <v>223</v>
      </c>
      <c r="L65" s="10" t="s">
        <v>951</v>
      </c>
      <c r="M65" s="4">
        <v>7.9</v>
      </c>
      <c r="N65" s="4">
        <v>82</v>
      </c>
      <c r="O65" s="4">
        <v>4</v>
      </c>
      <c r="P65" s="20">
        <f>(M65+(N65/10)+(O65*2))/3</f>
        <v>8.0333333333333332</v>
      </c>
      <c r="Q65" s="20">
        <f>(M65+C65+(N65/10)+(O65*2))/4</f>
        <v>8.1507499999999986</v>
      </c>
      <c r="R65" s="20">
        <f>(M65+C65+(N65/10))/3</f>
        <v>8.2009999999999987</v>
      </c>
      <c r="S65" s="27">
        <f>IF(C65 &gt; 9.25, 10, IF(C65 &gt; 6.75, ROUND(C65, 0), MAX(1, FLOOR(C65, 1))))</f>
        <v>9</v>
      </c>
      <c r="T65" s="20">
        <f>S65/2</f>
        <v>4.5</v>
      </c>
      <c r="U65" s="25">
        <v>46210</v>
      </c>
      <c r="V65">
        <v>1</v>
      </c>
      <c r="W65" s="25" t="s">
        <v>758</v>
      </c>
      <c r="X65">
        <v>150</v>
      </c>
      <c r="Y65" t="s">
        <v>911</v>
      </c>
      <c r="Z65" t="s">
        <v>907</v>
      </c>
      <c r="AA65" t="s">
        <v>1071</v>
      </c>
      <c r="AB65">
        <v>3</v>
      </c>
    </row>
    <row r="66" spans="1:28" x14ac:dyDescent="0.25">
      <c r="A66" s="4">
        <v>65</v>
      </c>
      <c r="B66" s="4" t="s">
        <v>652</v>
      </c>
      <c r="C66" s="28">
        <v>8.5020000000000007</v>
      </c>
      <c r="D66" s="4">
        <v>2024</v>
      </c>
      <c r="E66" s="10" t="s">
        <v>653</v>
      </c>
      <c r="F66" s="10" t="s">
        <v>387</v>
      </c>
      <c r="G66" s="10" t="s">
        <v>654</v>
      </c>
      <c r="H66" s="10" t="s">
        <v>657</v>
      </c>
      <c r="I66" s="10" t="s">
        <v>656</v>
      </c>
      <c r="J66" s="10" t="s">
        <v>208</v>
      </c>
      <c r="K66" s="10" t="s">
        <v>222</v>
      </c>
      <c r="L66" s="10" t="s">
        <v>217</v>
      </c>
      <c r="M66" s="4">
        <v>6.5</v>
      </c>
      <c r="N66" s="4">
        <v>75</v>
      </c>
      <c r="O66" s="4">
        <v>3.3</v>
      </c>
      <c r="P66" s="20">
        <f>(M66+(N66/10)+(O66*2))/3</f>
        <v>6.8666666666666671</v>
      </c>
      <c r="Q66" s="20">
        <f>(M66+C66+(N66/10)+(O66*2))/4</f>
        <v>7.275500000000001</v>
      </c>
      <c r="R66" s="20">
        <f>(M66+C66+(N66/10))/3</f>
        <v>7.5006666666666675</v>
      </c>
      <c r="S66" s="27">
        <f>IF(C66 &gt; 9.25, 10, IF(C66 &gt; 6.75, ROUND(C66, 0), MAX(1, FLOOR(C66, 1))))</f>
        <v>9</v>
      </c>
      <c r="T66" s="20">
        <f>S66/2</f>
        <v>4.5</v>
      </c>
      <c r="U66" s="25">
        <v>45658</v>
      </c>
      <c r="V66">
        <v>1</v>
      </c>
      <c r="W66" s="25" t="s">
        <v>758</v>
      </c>
      <c r="X66">
        <v>122</v>
      </c>
      <c r="Y66" t="s">
        <v>919</v>
      </c>
      <c r="Z66" t="s">
        <v>920</v>
      </c>
      <c r="AA66" s="25"/>
    </row>
    <row r="67" spans="1:28" x14ac:dyDescent="0.25">
      <c r="A67" s="4">
        <v>66</v>
      </c>
      <c r="B67" s="4" t="s">
        <v>17</v>
      </c>
      <c r="C67" s="28">
        <v>8.5009999999999994</v>
      </c>
      <c r="D67" s="4">
        <v>2010</v>
      </c>
      <c r="E67" s="5" t="s">
        <v>12</v>
      </c>
      <c r="F67" s="5" t="s">
        <v>1182</v>
      </c>
      <c r="G67" s="5" t="s">
        <v>1298</v>
      </c>
      <c r="H67" s="5" t="s">
        <v>263</v>
      </c>
      <c r="I67" s="5" t="s">
        <v>38</v>
      </c>
      <c r="J67" t="s">
        <v>208</v>
      </c>
      <c r="K67" s="10" t="s">
        <v>223</v>
      </c>
      <c r="L67" s="10" t="s">
        <v>222</v>
      </c>
      <c r="M67" s="4">
        <v>8.8000000000000007</v>
      </c>
      <c r="N67" s="4">
        <v>87</v>
      </c>
      <c r="O67" s="4">
        <v>4.2</v>
      </c>
      <c r="P67" s="20">
        <f>(M67+(N67/10)+(O67*2))/3</f>
        <v>8.6333333333333329</v>
      </c>
      <c r="Q67" s="20">
        <f>(M67+C67+(N67/10)+(O67*2))/4</f>
        <v>8.6002500000000008</v>
      </c>
      <c r="R67" s="20">
        <f>(M67+C67+(N67/10))/3</f>
        <v>8.6669999999999998</v>
      </c>
      <c r="S67" s="27">
        <f>IF(C67 &gt; 9.25, 10, IF(C67 &gt; 6.75, ROUND(C67, 0), MAX(1, FLOOR(C67, 1))))</f>
        <v>9</v>
      </c>
      <c r="T67" s="20">
        <f>S67/2</f>
        <v>4.5</v>
      </c>
      <c r="U67" s="25">
        <v>44721</v>
      </c>
      <c r="V67">
        <v>1</v>
      </c>
      <c r="W67" s="25" t="s">
        <v>758</v>
      </c>
      <c r="X67">
        <v>148</v>
      </c>
      <c r="Y67" t="s">
        <v>911</v>
      </c>
      <c r="Z67" t="s">
        <v>825</v>
      </c>
      <c r="AA67" s="25"/>
    </row>
    <row r="68" spans="1:28" x14ac:dyDescent="0.25">
      <c r="A68" s="4">
        <v>67</v>
      </c>
      <c r="B68" s="4" t="s">
        <v>1105</v>
      </c>
      <c r="C68" s="28">
        <v>8.407</v>
      </c>
      <c r="D68" s="4">
        <v>2024</v>
      </c>
      <c r="E68" s="10" t="s">
        <v>576</v>
      </c>
      <c r="F68" s="10" t="s">
        <v>508</v>
      </c>
      <c r="G68" s="10" t="s">
        <v>934</v>
      </c>
      <c r="H68" s="10" t="s">
        <v>1104</v>
      </c>
      <c r="I68" s="10" t="s">
        <v>937</v>
      </c>
      <c r="J68" s="10" t="s">
        <v>219</v>
      </c>
      <c r="K68" s="10" t="s">
        <v>208</v>
      </c>
      <c r="L68" s="10" t="s">
        <v>221</v>
      </c>
      <c r="M68" s="4">
        <v>6.8</v>
      </c>
      <c r="N68" s="4">
        <v>82</v>
      </c>
      <c r="O68" s="4">
        <v>3.4</v>
      </c>
      <c r="P68" s="20">
        <f>(M68+(N68/10)+(O68*2))/3</f>
        <v>7.2666666666666666</v>
      </c>
      <c r="Q68" s="20">
        <f>(M68+C68+(N68/10)+(O68*2))/4</f>
        <v>7.5517500000000002</v>
      </c>
      <c r="R68" s="20">
        <f>(M68+C68+(N68/10))/3</f>
        <v>7.8023333333333333</v>
      </c>
      <c r="S68" s="27">
        <f>IF(C68 &gt; 9.25, 10, IF(C68 &gt; 6.75, ROUND(C68, 0), MAX(1, FLOOR(C68, 1))))</f>
        <v>8</v>
      </c>
      <c r="T68" s="20">
        <f>S68/2</f>
        <v>4</v>
      </c>
      <c r="U68" s="25">
        <v>46156</v>
      </c>
      <c r="V68">
        <v>1</v>
      </c>
      <c r="W68" s="25" t="s">
        <v>758</v>
      </c>
      <c r="X68">
        <v>126</v>
      </c>
      <c r="Y68" t="s">
        <v>911</v>
      </c>
      <c r="Z68" t="s">
        <v>907</v>
      </c>
    </row>
    <row r="69" spans="1:28" x14ac:dyDescent="0.25">
      <c r="A69" s="4">
        <v>68</v>
      </c>
      <c r="B69" s="4" t="s">
        <v>45</v>
      </c>
      <c r="C69" s="28">
        <v>8.4060000000000006</v>
      </c>
      <c r="D69" s="4">
        <v>1996</v>
      </c>
      <c r="E69" s="5" t="s">
        <v>46</v>
      </c>
      <c r="F69" s="5" t="s">
        <v>279</v>
      </c>
      <c r="G69" s="5" t="s">
        <v>280</v>
      </c>
      <c r="H69" s="5" t="s">
        <v>281</v>
      </c>
      <c r="I69" s="5" t="s">
        <v>47</v>
      </c>
      <c r="J69" t="s">
        <v>219</v>
      </c>
      <c r="K69" t="s">
        <v>210</v>
      </c>
      <c r="M69" s="4">
        <v>7</v>
      </c>
      <c r="N69" s="4">
        <v>61</v>
      </c>
      <c r="O69" s="4">
        <v>3.4</v>
      </c>
      <c r="P69" s="20">
        <f>(M69+(N69/10)+(O69*2))/3</f>
        <v>6.6333333333333329</v>
      </c>
      <c r="Q69" s="20">
        <f>(M69+C69+(N69/10)+(O69*2))/4</f>
        <v>7.0765000000000002</v>
      </c>
      <c r="R69" s="20">
        <f>(M69+C69+(N69/10))/3</f>
        <v>7.1686666666666667</v>
      </c>
      <c r="S69" s="27">
        <f>IF(C69 &gt; 9.25, 10, IF(C69 &gt; 6.75, ROUND(C69, 0), MAX(1, FLOOR(C69, 1))))</f>
        <v>8</v>
      </c>
      <c r="T69" s="20">
        <f>S69/2</f>
        <v>4</v>
      </c>
      <c r="U69" s="25">
        <v>44736</v>
      </c>
      <c r="V69">
        <v>2</v>
      </c>
      <c r="W69" s="25" t="s">
        <v>758</v>
      </c>
      <c r="X69">
        <v>92</v>
      </c>
      <c r="Y69" t="s">
        <v>828</v>
      </c>
      <c r="Z69" t="s">
        <v>914</v>
      </c>
      <c r="AA69" s="25"/>
    </row>
    <row r="70" spans="1:28" x14ac:dyDescent="0.25">
      <c r="A70" s="4">
        <v>69</v>
      </c>
      <c r="B70" s="4" t="s">
        <v>1075</v>
      </c>
      <c r="C70" s="28">
        <v>8.4049999999999994</v>
      </c>
      <c r="D70" s="4">
        <v>2016</v>
      </c>
      <c r="E70" s="10" t="s">
        <v>576</v>
      </c>
      <c r="F70" s="10" t="s">
        <v>517</v>
      </c>
      <c r="G70" s="10" t="s">
        <v>1076</v>
      </c>
      <c r="H70" s="10" t="s">
        <v>1077</v>
      </c>
      <c r="I70" s="10" t="s">
        <v>1059</v>
      </c>
      <c r="J70" s="10" t="s">
        <v>208</v>
      </c>
      <c r="K70" s="10" t="s">
        <v>215</v>
      </c>
      <c r="L70" t="s">
        <v>219</v>
      </c>
      <c r="M70" s="4">
        <v>7.4</v>
      </c>
      <c r="N70" s="4">
        <v>91</v>
      </c>
      <c r="O70" s="4">
        <v>3.8</v>
      </c>
      <c r="P70" s="20">
        <f>(M70+(N70/10)+(O70*2))/3</f>
        <v>8.0333333333333332</v>
      </c>
      <c r="Q70" s="20">
        <f>(M70+C70+(N70/10)+(O70*2))/4</f>
        <v>8.1262500000000006</v>
      </c>
      <c r="R70" s="20">
        <f>(M70+C70+(N70/10))/3</f>
        <v>8.3016666666666676</v>
      </c>
      <c r="S70" s="27">
        <f>IF(C70 &gt; 9.25, 10, IF(C70 &gt; 6.75, ROUND(C70, 0), MAX(1, FLOOR(C70, 1))))</f>
        <v>8</v>
      </c>
      <c r="T70" s="20">
        <f>S70/2</f>
        <v>4</v>
      </c>
      <c r="U70" s="25">
        <v>46137</v>
      </c>
      <c r="V70">
        <v>1</v>
      </c>
      <c r="W70" s="25" t="s">
        <v>758</v>
      </c>
      <c r="X70">
        <v>116</v>
      </c>
      <c r="Y70" t="s">
        <v>911</v>
      </c>
      <c r="Z70" t="s">
        <v>907</v>
      </c>
    </row>
    <row r="71" spans="1:28" x14ac:dyDescent="0.25">
      <c r="A71" s="4">
        <v>70</v>
      </c>
      <c r="B71" s="4" t="s">
        <v>1016</v>
      </c>
      <c r="C71" s="28">
        <v>8.4039999999999999</v>
      </c>
      <c r="D71" s="4">
        <v>2016</v>
      </c>
      <c r="E71" s="10" t="s">
        <v>20</v>
      </c>
      <c r="F71" s="10" t="s">
        <v>1017</v>
      </c>
      <c r="G71" s="10" t="s">
        <v>1175</v>
      </c>
      <c r="H71" s="10" t="s">
        <v>668</v>
      </c>
      <c r="I71" s="10" t="s">
        <v>1018</v>
      </c>
      <c r="J71" s="10" t="s">
        <v>215</v>
      </c>
      <c r="K71" s="10" t="s">
        <v>217</v>
      </c>
      <c r="L71" s="10" t="s">
        <v>209</v>
      </c>
      <c r="M71" s="4">
        <v>7.3</v>
      </c>
      <c r="N71" s="4">
        <v>53</v>
      </c>
      <c r="O71" s="4">
        <v>3.3</v>
      </c>
      <c r="P71" s="20">
        <f>(M71+(N71/10)+(O71*2))/3</f>
        <v>6.3999999999999995</v>
      </c>
      <c r="Q71" s="20">
        <f>(M71+C71+(N71/10)+(O71*2))/4</f>
        <v>6.9009999999999998</v>
      </c>
      <c r="R71" s="20">
        <f>(M71+C71+(N71/10))/3</f>
        <v>7.0013333333333341</v>
      </c>
      <c r="S71" s="27">
        <f>IF(C71 &gt; 9.25, 10, IF(C71 &gt; 6.75, ROUND(C71, 0), MAX(1, FLOOR(C71, 1))))</f>
        <v>8</v>
      </c>
      <c r="T71" s="20">
        <f>S71/2</f>
        <v>4</v>
      </c>
      <c r="U71" s="25">
        <v>46079</v>
      </c>
      <c r="V71">
        <v>1</v>
      </c>
      <c r="W71" s="25" t="s">
        <v>758</v>
      </c>
      <c r="X71">
        <v>130</v>
      </c>
      <c r="Y71" t="s">
        <v>911</v>
      </c>
      <c r="Z71" t="s">
        <v>907</v>
      </c>
    </row>
    <row r="72" spans="1:28" x14ac:dyDescent="0.25">
      <c r="A72" s="4">
        <v>71</v>
      </c>
      <c r="B72" s="4" t="s">
        <v>1022</v>
      </c>
      <c r="C72" s="28">
        <v>8.4030000000000005</v>
      </c>
      <c r="D72" s="4">
        <v>2025</v>
      </c>
      <c r="E72" s="10" t="s">
        <v>20</v>
      </c>
      <c r="F72" s="10" t="s">
        <v>668</v>
      </c>
      <c r="G72" s="10" t="s">
        <v>1023</v>
      </c>
      <c r="H72" s="10" t="s">
        <v>1175</v>
      </c>
      <c r="I72" s="10" t="s">
        <v>1018</v>
      </c>
      <c r="J72" s="10" t="s">
        <v>209</v>
      </c>
      <c r="K72" s="10" t="s">
        <v>216</v>
      </c>
      <c r="L72" s="10" t="s">
        <v>217</v>
      </c>
      <c r="M72" s="4">
        <v>6.6</v>
      </c>
      <c r="N72" s="4">
        <v>75</v>
      </c>
      <c r="O72" s="4">
        <v>3.1</v>
      </c>
      <c r="P72" s="20">
        <f>(M72+(N72/10)+(O72*2))/3</f>
        <v>6.7666666666666666</v>
      </c>
      <c r="Q72" s="20">
        <f>(M72+C72+(N72/10)+(O72*2))/4</f>
        <v>7.1757499999999999</v>
      </c>
      <c r="R72" s="20">
        <f>(M72+C72+(N72/10))/3</f>
        <v>7.5010000000000003</v>
      </c>
      <c r="S72" s="27">
        <f>IF(C72 &gt; 9.25, 10, IF(C72 &gt; 6.75, ROUND(C72, 0), MAX(1, FLOOR(C72, 1))))</f>
        <v>8</v>
      </c>
      <c r="T72" s="20">
        <f>S72/2</f>
        <v>4</v>
      </c>
      <c r="U72" s="25">
        <v>46087</v>
      </c>
      <c r="V72">
        <v>1</v>
      </c>
      <c r="W72" s="25" t="s">
        <v>758</v>
      </c>
      <c r="X72">
        <v>132</v>
      </c>
      <c r="Y72" t="s">
        <v>911</v>
      </c>
      <c r="Z72" t="s">
        <v>917</v>
      </c>
      <c r="AA72" t="s">
        <v>1016</v>
      </c>
      <c r="AB72">
        <v>2</v>
      </c>
    </row>
    <row r="73" spans="1:28" x14ac:dyDescent="0.25">
      <c r="A73" s="4">
        <v>72</v>
      </c>
      <c r="B73" s="4" t="s">
        <v>1316</v>
      </c>
      <c r="C73" s="28">
        <v>8.4019999999999992</v>
      </c>
      <c r="D73" s="4">
        <v>2019</v>
      </c>
      <c r="E73" s="10" t="s">
        <v>578</v>
      </c>
      <c r="F73" s="10" t="s">
        <v>77</v>
      </c>
      <c r="G73" s="10" t="s">
        <v>985</v>
      </c>
      <c r="H73" s="10" t="s">
        <v>779</v>
      </c>
      <c r="I73" s="10" t="s">
        <v>1317</v>
      </c>
      <c r="J73" s="10" t="s">
        <v>216</v>
      </c>
      <c r="K73" s="10" t="s">
        <v>219</v>
      </c>
      <c r="L73" s="10" t="s">
        <v>215</v>
      </c>
      <c r="M73" s="4">
        <v>7.9</v>
      </c>
      <c r="N73" s="4">
        <v>97</v>
      </c>
      <c r="O73" s="4">
        <v>4</v>
      </c>
      <c r="P73" s="20">
        <f>(M73+(N73/10)+(O73*2))/3</f>
        <v>8.5333333333333332</v>
      </c>
      <c r="Q73" s="20">
        <f>(M73+C73+(N73/10)+(O73*2))/4</f>
        <v>8.5004999999999988</v>
      </c>
      <c r="R73" s="20">
        <f>(M73+C73+(N73/10))/3</f>
        <v>8.6673333333333336</v>
      </c>
      <c r="S73" s="27">
        <f>IF(C73 &gt; 9.25, 10, IF(C73 &gt; 6.75, ROUND(C73, 0), MAX(1, FLOOR(C73, 1))))</f>
        <v>8</v>
      </c>
      <c r="T73" s="20">
        <f>S73/2</f>
        <v>4</v>
      </c>
      <c r="U73" s="25">
        <v>46238</v>
      </c>
      <c r="V73">
        <v>1</v>
      </c>
      <c r="W73" s="25" t="s">
        <v>758</v>
      </c>
      <c r="X73">
        <v>130</v>
      </c>
      <c r="Y73" t="s">
        <v>911</v>
      </c>
      <c r="Z73" t="s">
        <v>907</v>
      </c>
      <c r="AA73" t="s">
        <v>1316</v>
      </c>
      <c r="AB73">
        <v>1</v>
      </c>
    </row>
    <row r="74" spans="1:28" x14ac:dyDescent="0.25">
      <c r="A74" s="4">
        <v>73</v>
      </c>
      <c r="B74" s="4" t="s">
        <v>434</v>
      </c>
      <c r="C74" s="28">
        <v>8.4019999999999992</v>
      </c>
      <c r="D74" s="4">
        <v>1995</v>
      </c>
      <c r="E74" s="5" t="s">
        <v>30</v>
      </c>
      <c r="F74" s="10" t="s">
        <v>32</v>
      </c>
      <c r="G74" s="10" t="s">
        <v>436</v>
      </c>
      <c r="H74" s="10" t="s">
        <v>437</v>
      </c>
      <c r="I74" s="10" t="s">
        <v>35</v>
      </c>
      <c r="J74" s="10" t="s">
        <v>215</v>
      </c>
      <c r="K74" s="10" t="s">
        <v>209</v>
      </c>
      <c r="L74" s="10" t="s">
        <v>672</v>
      </c>
      <c r="M74" s="4">
        <v>8.1999999999999993</v>
      </c>
      <c r="N74" s="4">
        <v>80</v>
      </c>
      <c r="O74" s="4">
        <v>4.2</v>
      </c>
      <c r="P74" s="20">
        <f>(M74+(N74/10)+(O74*2))/3</f>
        <v>8.2000000000000011</v>
      </c>
      <c r="Q74" s="20">
        <f>(M74+C74+(N74/10)+(O74*2))/4</f>
        <v>8.2504999999999988</v>
      </c>
      <c r="R74" s="20">
        <f>(M74+C74+(N74/10))/3</f>
        <v>8.200666666666665</v>
      </c>
      <c r="S74" s="27">
        <f>IF(C74 &gt; 9.25, 10, IF(C74 &gt; 6.75, ROUND(C74, 0), MAX(1, FLOOR(C74, 1))))</f>
        <v>8</v>
      </c>
      <c r="T74" s="20">
        <f>S74/2</f>
        <v>4</v>
      </c>
      <c r="U74" s="25">
        <v>45718</v>
      </c>
      <c r="V74">
        <v>1</v>
      </c>
      <c r="W74" s="25" t="s">
        <v>758</v>
      </c>
      <c r="X74">
        <v>178</v>
      </c>
      <c r="Y74" t="s">
        <v>911</v>
      </c>
      <c r="Z74" t="s">
        <v>825</v>
      </c>
      <c r="AA74" t="s">
        <v>1016</v>
      </c>
      <c r="AB74">
        <v>1</v>
      </c>
    </row>
    <row r="75" spans="1:28" x14ac:dyDescent="0.25">
      <c r="A75" s="4">
        <v>74</v>
      </c>
      <c r="B75" s="4" t="s">
        <v>1160</v>
      </c>
      <c r="C75" s="28">
        <v>8.3070000000000004</v>
      </c>
      <c r="D75" s="4">
        <v>2018</v>
      </c>
      <c r="E75" s="10" t="s">
        <v>530</v>
      </c>
      <c r="F75" s="10" t="s">
        <v>985</v>
      </c>
      <c r="G75" s="10" t="s">
        <v>347</v>
      </c>
      <c r="H75" s="10" t="s">
        <v>510</v>
      </c>
      <c r="I75" s="10" t="s">
        <v>1056</v>
      </c>
      <c r="J75" s="10" t="s">
        <v>208</v>
      </c>
      <c r="K75" s="10" t="s">
        <v>223</v>
      </c>
      <c r="L75" s="10" t="s">
        <v>951</v>
      </c>
      <c r="M75" s="4">
        <v>8.4</v>
      </c>
      <c r="N75" s="4">
        <v>85</v>
      </c>
      <c r="O75" s="4">
        <v>4</v>
      </c>
      <c r="P75" s="20">
        <f>(M75+(N75/10)+(O75*2))/3</f>
        <v>8.2999999999999989</v>
      </c>
      <c r="Q75" s="20">
        <f>(M75+C75+(N75/10)+(O75*2))/4</f>
        <v>8.3017500000000002</v>
      </c>
      <c r="R75" s="20">
        <f>(M75+C75+(N75/10))/3</f>
        <v>8.402333333333333</v>
      </c>
      <c r="S75" s="27">
        <f>IF(C75 &gt; 9.25, 10, IF(C75 &gt; 6.75, ROUND(C75, 0), MAX(1, FLOOR(C75, 1))))</f>
        <v>8</v>
      </c>
      <c r="T75" s="20">
        <f>S75/2</f>
        <v>4</v>
      </c>
      <c r="U75" s="25">
        <v>46195</v>
      </c>
      <c r="V75">
        <v>1</v>
      </c>
      <c r="W75" s="25" t="s">
        <v>758</v>
      </c>
      <c r="X75">
        <v>149</v>
      </c>
      <c r="Y75" t="s">
        <v>911</v>
      </c>
      <c r="Z75" t="s">
        <v>907</v>
      </c>
      <c r="AA75" t="s">
        <v>1126</v>
      </c>
      <c r="AB75">
        <v>22</v>
      </c>
    </row>
    <row r="76" spans="1:28" x14ac:dyDescent="0.25">
      <c r="A76" s="4">
        <v>75</v>
      </c>
      <c r="B76" s="4" t="s">
        <v>967</v>
      </c>
      <c r="C76" s="28">
        <v>8.3059999999999992</v>
      </c>
      <c r="D76" s="4">
        <v>2021</v>
      </c>
      <c r="E76" s="10" t="s">
        <v>957</v>
      </c>
      <c r="F76" s="10" t="s">
        <v>966</v>
      </c>
      <c r="G76" s="10" t="s">
        <v>458</v>
      </c>
      <c r="H76" s="10" t="s">
        <v>968</v>
      </c>
      <c r="I76" s="10" t="s">
        <v>959</v>
      </c>
      <c r="J76" s="10" t="s">
        <v>208</v>
      </c>
      <c r="K76" s="10" t="s">
        <v>223</v>
      </c>
      <c r="L76" t="s">
        <v>951</v>
      </c>
      <c r="M76" s="4">
        <v>8.1</v>
      </c>
      <c r="N76" s="4">
        <v>93</v>
      </c>
      <c r="O76" s="4">
        <v>3.8</v>
      </c>
      <c r="P76" s="20">
        <f>(M76+(N76/10)+(O76*2))/3</f>
        <v>8.3333333333333339</v>
      </c>
      <c r="Q76" s="20">
        <f>(M76+C76+(N76/10)+(O76*2))/4</f>
        <v>8.3264999999999993</v>
      </c>
      <c r="R76" s="20">
        <f>(M76+C76+(N76/10))/3</f>
        <v>8.5686666666666671</v>
      </c>
      <c r="S76" s="27">
        <f>IF(C76 &gt; 9.25, 10, IF(C76 &gt; 6.75, ROUND(C76, 0), MAX(1, FLOOR(C76, 1))))</f>
        <v>8</v>
      </c>
      <c r="T76" s="20">
        <f>S76/2</f>
        <v>4</v>
      </c>
      <c r="U76" s="25">
        <v>46204</v>
      </c>
      <c r="V76">
        <v>2</v>
      </c>
      <c r="W76" s="25" t="s">
        <v>758</v>
      </c>
      <c r="X76">
        <v>148</v>
      </c>
      <c r="Y76" t="s">
        <v>911</v>
      </c>
      <c r="Z76" t="s">
        <v>907</v>
      </c>
      <c r="AA76" s="25" t="s">
        <v>938</v>
      </c>
      <c r="AB76">
        <v>8</v>
      </c>
    </row>
    <row r="77" spans="1:28" x14ac:dyDescent="0.25">
      <c r="A77" s="4">
        <v>76</v>
      </c>
      <c r="B77" s="4" t="s">
        <v>563</v>
      </c>
      <c r="C77" s="28">
        <v>8.3049999999999997</v>
      </c>
      <c r="D77" s="4">
        <v>1999</v>
      </c>
      <c r="E77" s="5" t="s">
        <v>52</v>
      </c>
      <c r="F77" s="10" t="s">
        <v>235</v>
      </c>
      <c r="G77" s="10" t="s">
        <v>1183</v>
      </c>
      <c r="H77" s="10" t="s">
        <v>564</v>
      </c>
      <c r="I77" s="10" t="s">
        <v>54</v>
      </c>
      <c r="J77" s="10" t="s">
        <v>209</v>
      </c>
      <c r="M77" s="4">
        <v>8.8000000000000007</v>
      </c>
      <c r="N77" s="4">
        <v>79</v>
      </c>
      <c r="O77" s="4">
        <v>4.3</v>
      </c>
      <c r="P77" s="20">
        <f>(M77+(N77/10)+(O77*2))/3</f>
        <v>8.4333333333333353</v>
      </c>
      <c r="Q77" s="20">
        <f>(M77+C77+(N77/10)+(O77*2))/4</f>
        <v>8.401250000000001</v>
      </c>
      <c r="R77" s="20">
        <f>(M77+C77+(N77/10))/3</f>
        <v>8.3350000000000009</v>
      </c>
      <c r="S77" s="27">
        <f>IF(C77 &gt; 9.25, 10, IF(C77 &gt; 6.75, ROUND(C77, 0), MAX(1, FLOOR(C77, 1))))</f>
        <v>8</v>
      </c>
      <c r="T77" s="20">
        <f>S77/2</f>
        <v>4</v>
      </c>
      <c r="U77" s="25">
        <v>44822</v>
      </c>
      <c r="V77">
        <v>1</v>
      </c>
      <c r="W77" s="25" t="s">
        <v>758</v>
      </c>
      <c r="X77">
        <v>139</v>
      </c>
      <c r="Y77" t="s">
        <v>911</v>
      </c>
      <c r="Z77" t="s">
        <v>825</v>
      </c>
      <c r="AA77" s="25"/>
    </row>
    <row r="78" spans="1:28" x14ac:dyDescent="0.25">
      <c r="A78" s="4">
        <v>77</v>
      </c>
      <c r="B78" s="4" t="s">
        <v>186</v>
      </c>
      <c r="C78" s="28">
        <v>8.3040000000000003</v>
      </c>
      <c r="D78" s="4">
        <v>2014</v>
      </c>
      <c r="E78" s="5" t="s">
        <v>67</v>
      </c>
      <c r="F78" s="10" t="s">
        <v>190</v>
      </c>
      <c r="G78" s="10" t="s">
        <v>191</v>
      </c>
      <c r="H78" s="10" t="s">
        <v>305</v>
      </c>
      <c r="I78" s="10" t="s">
        <v>192</v>
      </c>
      <c r="J78" s="10" t="s">
        <v>210</v>
      </c>
      <c r="K78" s="10" t="s">
        <v>209</v>
      </c>
      <c r="M78" s="4">
        <v>6.8</v>
      </c>
      <c r="N78" s="4">
        <v>59</v>
      </c>
      <c r="O78" s="4">
        <v>3.1</v>
      </c>
      <c r="P78" s="20">
        <f>(M78+(N78/10)+(O78*2))/3</f>
        <v>6.3</v>
      </c>
      <c r="Q78" s="20">
        <f>(M78+C78+(N78/10)+(O78*2))/4</f>
        <v>6.8009999999999993</v>
      </c>
      <c r="R78" s="20">
        <f>(M78+C78+(N78/10))/3</f>
        <v>7.0013333333333323</v>
      </c>
      <c r="S78" s="27">
        <f>IF(C78 &gt; 9.25, 10, IF(C78 &gt; 6.75, ROUND(C78, 0), MAX(1, FLOOR(C78, 1))))</f>
        <v>8</v>
      </c>
      <c r="T78" s="20">
        <f>S78/2</f>
        <v>4</v>
      </c>
      <c r="U78" s="25">
        <v>46134</v>
      </c>
      <c r="V78">
        <v>4</v>
      </c>
      <c r="W78" s="25" t="s">
        <v>758</v>
      </c>
      <c r="X78">
        <v>110</v>
      </c>
      <c r="Y78" t="s">
        <v>911</v>
      </c>
      <c r="Z78" t="s">
        <v>915</v>
      </c>
      <c r="AA78" s="25"/>
    </row>
    <row r="79" spans="1:28" x14ac:dyDescent="0.25">
      <c r="A79" s="4">
        <v>78</v>
      </c>
      <c r="B79" s="4" t="s">
        <v>761</v>
      </c>
      <c r="C79" s="28">
        <v>8.3030000000000008</v>
      </c>
      <c r="D79" s="4">
        <v>2004</v>
      </c>
      <c r="E79" s="10" t="s">
        <v>260</v>
      </c>
      <c r="F79" s="10" t="s">
        <v>799</v>
      </c>
      <c r="G79" s="10" t="s">
        <v>399</v>
      </c>
      <c r="H79" s="10" t="s">
        <v>798</v>
      </c>
      <c r="I79" s="10" t="s">
        <v>61</v>
      </c>
      <c r="J79" s="10" t="s">
        <v>208</v>
      </c>
      <c r="K79" s="10" t="s">
        <v>215</v>
      </c>
      <c r="L79" s="10" t="s">
        <v>217</v>
      </c>
      <c r="M79" s="4">
        <v>8.1</v>
      </c>
      <c r="N79" s="4">
        <v>84</v>
      </c>
      <c r="O79" s="4">
        <v>4.0999999999999996</v>
      </c>
      <c r="P79" s="20">
        <f>(M79+(N79/10)+(O79*2))/3</f>
        <v>8.2333333333333325</v>
      </c>
      <c r="Q79" s="20">
        <f>(M79+C79+(N79/10)+(O79*2))/4</f>
        <v>8.25075</v>
      </c>
      <c r="R79" s="20">
        <f>(M79+C79+(N79/10))/3</f>
        <v>8.2676666666666652</v>
      </c>
      <c r="S79" s="27">
        <f>IF(C79 &gt; 9.25, 10, IF(C79 &gt; 6.75, ROUND(C79, 0), MAX(1, FLOOR(C79, 1))))</f>
        <v>8</v>
      </c>
      <c r="T79" s="20">
        <f>S79/2</f>
        <v>4</v>
      </c>
      <c r="U79" s="25">
        <v>45920</v>
      </c>
      <c r="V79">
        <v>1</v>
      </c>
      <c r="W79" s="25" t="s">
        <v>758</v>
      </c>
      <c r="X79">
        <v>137</v>
      </c>
      <c r="Y79" t="s">
        <v>911</v>
      </c>
      <c r="Z79" t="s">
        <v>825</v>
      </c>
      <c r="AA79" s="25"/>
    </row>
    <row r="80" spans="1:28" x14ac:dyDescent="0.25">
      <c r="A80" s="4">
        <v>79</v>
      </c>
      <c r="B80" s="4" t="s">
        <v>709</v>
      </c>
      <c r="C80" s="28">
        <v>8.3019999999999996</v>
      </c>
      <c r="D80" s="4">
        <v>2003</v>
      </c>
      <c r="E80" s="10" t="s">
        <v>260</v>
      </c>
      <c r="F80" s="10" t="s">
        <v>783</v>
      </c>
      <c r="G80" s="10" t="s">
        <v>890</v>
      </c>
      <c r="H80" s="10" t="s">
        <v>798</v>
      </c>
      <c r="I80" s="10" t="s">
        <v>61</v>
      </c>
      <c r="J80" s="10" t="s">
        <v>208</v>
      </c>
      <c r="K80" s="10" t="s">
        <v>215</v>
      </c>
      <c r="L80" s="10" t="s">
        <v>217</v>
      </c>
      <c r="M80" s="4">
        <v>8.1999999999999993</v>
      </c>
      <c r="N80" s="4">
        <v>85</v>
      </c>
      <c r="O80" s="4">
        <v>4.2</v>
      </c>
      <c r="P80" s="20">
        <f>(M80+(N80/10)+(O80*2))/3</f>
        <v>8.3666666666666671</v>
      </c>
      <c r="Q80" s="20">
        <f>(M80+C80+(N80/10)+(O80*2))/4</f>
        <v>8.3505000000000003</v>
      </c>
      <c r="R80" s="20">
        <f>(M80+C80+(N80/10))/3</f>
        <v>8.3339999999999996</v>
      </c>
      <c r="S80" s="27">
        <f>IF(C80 &gt; 9.25, 10, IF(C80 &gt; 6.75, ROUND(C80, 0), MAX(1, FLOOR(C80, 1))))</f>
        <v>8</v>
      </c>
      <c r="T80" s="20">
        <f>S80/2</f>
        <v>4</v>
      </c>
      <c r="U80" s="25">
        <v>45919</v>
      </c>
      <c r="V80">
        <v>1</v>
      </c>
      <c r="W80" s="25" t="s">
        <v>758</v>
      </c>
      <c r="X80">
        <v>111</v>
      </c>
      <c r="Y80" t="s">
        <v>911</v>
      </c>
      <c r="Z80" t="s">
        <v>825</v>
      </c>
      <c r="AA80" s="25"/>
    </row>
    <row r="81" spans="1:30" x14ac:dyDescent="0.25">
      <c r="A81" s="4">
        <v>80</v>
      </c>
      <c r="B81" s="4" t="s">
        <v>1263</v>
      </c>
      <c r="C81" s="28">
        <v>8.3010000000000002</v>
      </c>
      <c r="D81" s="4">
        <v>2015</v>
      </c>
      <c r="E81" s="10" t="s">
        <v>1137</v>
      </c>
      <c r="F81" s="10" t="s">
        <v>1151</v>
      </c>
      <c r="G81" s="10" t="s">
        <v>1147</v>
      </c>
      <c r="H81" s="10" t="s">
        <v>1264</v>
      </c>
      <c r="I81" s="10" t="s">
        <v>1140</v>
      </c>
      <c r="J81" s="10" t="s">
        <v>210</v>
      </c>
      <c r="K81" s="10" t="s">
        <v>209</v>
      </c>
      <c r="L81" s="10" t="s">
        <v>1155</v>
      </c>
      <c r="M81" s="4">
        <v>7.6</v>
      </c>
      <c r="N81" s="4">
        <v>95</v>
      </c>
      <c r="O81" s="4">
        <v>3.8</v>
      </c>
      <c r="P81" s="20">
        <f>(M81+(N81/10)+(O81*2))/3</f>
        <v>8.2333333333333343</v>
      </c>
      <c r="Q81" s="20">
        <f>(M81+C81+(N81/10)+(O81*2))/4</f>
        <v>8.2502499999999994</v>
      </c>
      <c r="R81" s="20">
        <f>(M81+C81+(N81/10))/3</f>
        <v>8.4670000000000005</v>
      </c>
      <c r="S81" s="27">
        <f>IF(C81 &gt; 9.25, 10, IF(C81 &gt; 6.75, ROUND(C81, 0), MAX(1, FLOOR(C81, 1))))</f>
        <v>8</v>
      </c>
      <c r="T81" s="20">
        <f>S81/2</f>
        <v>4</v>
      </c>
      <c r="U81" s="25">
        <v>46219</v>
      </c>
      <c r="V81">
        <v>1</v>
      </c>
      <c r="W81" s="25" t="s">
        <v>758</v>
      </c>
      <c r="X81">
        <v>133</v>
      </c>
      <c r="Y81" t="s">
        <v>911</v>
      </c>
      <c r="Z81" t="s">
        <v>920</v>
      </c>
      <c r="AA81" t="s">
        <v>1263</v>
      </c>
      <c r="AB81">
        <v>1</v>
      </c>
    </row>
    <row r="82" spans="1:30" x14ac:dyDescent="0.25">
      <c r="A82" s="4">
        <v>81</v>
      </c>
      <c r="B82" s="4" t="s">
        <v>1293</v>
      </c>
      <c r="C82" s="28">
        <v>8.2070000000000007</v>
      </c>
      <c r="D82" s="4">
        <v>2023</v>
      </c>
      <c r="E82" s="10" t="s">
        <v>1137</v>
      </c>
      <c r="F82" s="10" t="s">
        <v>1147</v>
      </c>
      <c r="G82" s="10" t="s">
        <v>1294</v>
      </c>
      <c r="H82" s="10" t="s">
        <v>651</v>
      </c>
      <c r="I82" s="10" t="s">
        <v>1137</v>
      </c>
      <c r="J82" s="10" t="s">
        <v>210</v>
      </c>
      <c r="K82" s="10" t="s">
        <v>209</v>
      </c>
      <c r="L82" s="10" t="s">
        <v>1155</v>
      </c>
      <c r="M82" s="4">
        <v>6.7</v>
      </c>
      <c r="N82" s="4">
        <v>89</v>
      </c>
      <c r="O82" s="4">
        <v>3.4</v>
      </c>
      <c r="P82" s="20">
        <f>(M82+(N82/10)+(O82*2))/3</f>
        <v>7.4666666666666677</v>
      </c>
      <c r="Q82" s="20">
        <f>(M82+C82+(N82/10)+(O82*2))/4</f>
        <v>7.6517500000000007</v>
      </c>
      <c r="R82" s="20">
        <f>(M82+C82+(N82/10))/3</f>
        <v>7.9356666666666671</v>
      </c>
      <c r="S82" s="27">
        <f>IF(C82 &gt; 9.25, 10, IF(C82 &gt; 6.75, ROUND(C82, 0), MAX(1, FLOOR(C82, 1))))</f>
        <v>8</v>
      </c>
      <c r="T82" s="20">
        <f>S82/2</f>
        <v>4</v>
      </c>
      <c r="U82" s="25">
        <v>46227</v>
      </c>
      <c r="V82">
        <v>1</v>
      </c>
      <c r="W82" s="25" t="s">
        <v>758</v>
      </c>
      <c r="Y82" t="s">
        <v>911</v>
      </c>
      <c r="Z82" t="s">
        <v>907</v>
      </c>
      <c r="AA82" t="s">
        <v>1263</v>
      </c>
      <c r="AB82">
        <v>3</v>
      </c>
    </row>
    <row r="83" spans="1:30" x14ac:dyDescent="0.25">
      <c r="A83" s="4">
        <v>82</v>
      </c>
      <c r="B83" s="4" t="s">
        <v>1096</v>
      </c>
      <c r="C83" s="28">
        <v>8.2059999999999995</v>
      </c>
      <c r="D83" s="4">
        <v>2008</v>
      </c>
      <c r="E83" s="10" t="s">
        <v>92</v>
      </c>
      <c r="F83" s="10" t="s">
        <v>530</v>
      </c>
      <c r="G83" s="10" t="s">
        <v>9</v>
      </c>
      <c r="H83" s="10" t="s">
        <v>15</v>
      </c>
      <c r="I83" s="10" t="s">
        <v>92</v>
      </c>
      <c r="J83" s="10" t="s">
        <v>219</v>
      </c>
      <c r="K83" s="10" t="s">
        <v>226</v>
      </c>
      <c r="L83" s="10" t="s">
        <v>208</v>
      </c>
      <c r="M83" s="4">
        <v>7.1</v>
      </c>
      <c r="N83" s="4">
        <v>82</v>
      </c>
      <c r="O83" s="4">
        <v>3.6</v>
      </c>
      <c r="P83" s="20">
        <f>(M83+(N83/10)+(O83*2))/3</f>
        <v>7.5</v>
      </c>
      <c r="Q83" s="20">
        <f>(M83+C83+(N83/10)+(O83*2))/4</f>
        <v>7.6764999999999999</v>
      </c>
      <c r="R83" s="20">
        <f>(M83+C83+(N83/10))/3</f>
        <v>7.8353333333333337</v>
      </c>
      <c r="S83" s="27">
        <f>IF(C83 &gt; 9.25, 10, IF(C83 &gt; 6.75, ROUND(C83, 0), MAX(1, FLOOR(C83, 1))))</f>
        <v>8</v>
      </c>
      <c r="T83" s="20">
        <f>S83/2</f>
        <v>4</v>
      </c>
      <c r="U83" s="25">
        <v>46155</v>
      </c>
      <c r="V83">
        <v>1</v>
      </c>
      <c r="W83" s="25" t="s">
        <v>758</v>
      </c>
      <c r="X83">
        <v>108</v>
      </c>
      <c r="Y83" t="s">
        <v>911</v>
      </c>
      <c r="Z83" t="s">
        <v>907</v>
      </c>
    </row>
    <row r="84" spans="1:30" x14ac:dyDescent="0.25">
      <c r="A84" s="4">
        <v>83</v>
      </c>
      <c r="B84" s="4" t="s">
        <v>423</v>
      </c>
      <c r="C84" s="28">
        <v>8.2050000000000001</v>
      </c>
      <c r="D84" s="4">
        <v>2009</v>
      </c>
      <c r="E84" s="10" t="s">
        <v>52</v>
      </c>
      <c r="F84" s="10" t="s">
        <v>1178</v>
      </c>
      <c r="G84" s="10" t="s">
        <v>424</v>
      </c>
      <c r="H84" s="10" t="s">
        <v>1186</v>
      </c>
      <c r="I84" s="10" t="s">
        <v>61</v>
      </c>
      <c r="J84" s="10" t="s">
        <v>226</v>
      </c>
      <c r="K84" s="10" t="s">
        <v>209</v>
      </c>
      <c r="L84" s="10" t="s">
        <v>222</v>
      </c>
      <c r="M84" s="4">
        <v>8.4</v>
      </c>
      <c r="N84" s="4">
        <v>89</v>
      </c>
      <c r="O84" s="4">
        <v>4.4000000000000004</v>
      </c>
      <c r="P84" s="20">
        <f>(M84+(N84/10)+(O84*2))/3</f>
        <v>8.7000000000000011</v>
      </c>
      <c r="Q84" s="20">
        <f>(M84+C84+(N84/10)+(O84*2))/4</f>
        <v>8.5762500000000017</v>
      </c>
      <c r="R84" s="20">
        <f>(M84+C84+(N84/10))/3</f>
        <v>8.5016666666666669</v>
      </c>
      <c r="S84" s="27">
        <f>IF(C84 &gt; 9.25, 10, IF(C84 &gt; 6.75, ROUND(C84, 0), MAX(1, FLOOR(C84, 1))))</f>
        <v>8</v>
      </c>
      <c r="T84" s="20">
        <f>S84/2</f>
        <v>4</v>
      </c>
      <c r="U84" s="25">
        <v>45411</v>
      </c>
      <c r="V84">
        <v>2</v>
      </c>
      <c r="W84" s="25" t="s">
        <v>758</v>
      </c>
      <c r="X84">
        <v>153</v>
      </c>
      <c r="Y84" t="s">
        <v>911</v>
      </c>
      <c r="Z84" t="s">
        <v>825</v>
      </c>
      <c r="AA84" s="25"/>
    </row>
    <row r="85" spans="1:30" x14ac:dyDescent="0.25">
      <c r="A85" s="4">
        <v>84</v>
      </c>
      <c r="B85" s="4" t="s">
        <v>1028</v>
      </c>
      <c r="C85" s="28">
        <v>8.2040000000000006</v>
      </c>
      <c r="D85" s="4">
        <v>2012</v>
      </c>
      <c r="E85" s="10" t="s">
        <v>530</v>
      </c>
      <c r="F85" s="10" t="s">
        <v>985</v>
      </c>
      <c r="G85" s="10" t="s">
        <v>1002</v>
      </c>
      <c r="H85" s="10" t="s">
        <v>347</v>
      </c>
      <c r="I85" s="10" t="s">
        <v>1029</v>
      </c>
      <c r="J85" s="10" t="s">
        <v>208</v>
      </c>
      <c r="K85" s="10" t="s">
        <v>223</v>
      </c>
      <c r="L85" s="10" t="s">
        <v>951</v>
      </c>
      <c r="M85" s="4">
        <v>8</v>
      </c>
      <c r="N85" s="4">
        <v>91</v>
      </c>
      <c r="O85" s="4">
        <v>3.7</v>
      </c>
      <c r="P85" s="20">
        <f>(M85+(N85/10)+(O85*2))/3</f>
        <v>8.1666666666666661</v>
      </c>
      <c r="Q85" s="20">
        <f>(M85+C85+(N85/10)+(O85*2))/4</f>
        <v>8.1760000000000002</v>
      </c>
      <c r="R85" s="20">
        <f>(M85+C85+(N85/10))/3</f>
        <v>8.4346666666666668</v>
      </c>
      <c r="S85" s="27">
        <f>IF(C85 &gt; 9.25, 10, IF(C85 &gt; 6.75, ROUND(C85, 0), MAX(1, FLOOR(C85, 1))))</f>
        <v>8</v>
      </c>
      <c r="T85" s="20">
        <f>S85/2</f>
        <v>4</v>
      </c>
      <c r="U85" s="25">
        <v>46092</v>
      </c>
      <c r="V85">
        <v>1</v>
      </c>
      <c r="W85" s="25" t="s">
        <v>758</v>
      </c>
      <c r="X85">
        <v>143</v>
      </c>
      <c r="Y85" t="s">
        <v>911</v>
      </c>
      <c r="Z85" t="s">
        <v>915</v>
      </c>
      <c r="AA85" t="s">
        <v>1126</v>
      </c>
      <c r="AB85">
        <v>7</v>
      </c>
    </row>
    <row r="86" spans="1:30" x14ac:dyDescent="0.25">
      <c r="A86" s="4">
        <v>85</v>
      </c>
      <c r="B86" s="4" t="s">
        <v>1246</v>
      </c>
      <c r="C86" s="28">
        <v>8.2029999999999994</v>
      </c>
      <c r="D86" s="4">
        <v>1991</v>
      </c>
      <c r="E86" s="10" t="s">
        <v>1061</v>
      </c>
      <c r="F86" s="10" t="s">
        <v>1062</v>
      </c>
      <c r="G86" s="10" t="s">
        <v>1102</v>
      </c>
      <c r="H86" s="10" t="s">
        <v>1103</v>
      </c>
      <c r="I86" s="10" t="s">
        <v>1064</v>
      </c>
      <c r="J86" s="10" t="s">
        <v>208</v>
      </c>
      <c r="K86" s="10" t="s">
        <v>222</v>
      </c>
      <c r="L86" s="10" t="s">
        <v>223</v>
      </c>
      <c r="M86" s="4">
        <v>8.6</v>
      </c>
      <c r="N86" s="4">
        <v>90</v>
      </c>
      <c r="O86" s="4">
        <v>4.3</v>
      </c>
      <c r="P86" s="20">
        <f>(M86+(N86/10)+(O86*2))/3</f>
        <v>8.7333333333333343</v>
      </c>
      <c r="Q86" s="20">
        <f>(M86+C86+(N86/10)+(O86*2))/4</f>
        <v>8.6007499999999997</v>
      </c>
      <c r="R86" s="20">
        <f>(M86+C86+(N86/10))/3</f>
        <v>8.6009999999999991</v>
      </c>
      <c r="S86" s="27">
        <f>IF(C86 &gt; 9.25, 10, IF(C86 &gt; 6.75, ROUND(C86, 0), MAX(1, FLOOR(C86, 1))))</f>
        <v>8</v>
      </c>
      <c r="T86" s="20">
        <f>S86/2</f>
        <v>4</v>
      </c>
      <c r="U86" s="25">
        <v>46156</v>
      </c>
      <c r="V86">
        <v>1</v>
      </c>
      <c r="W86" s="25" t="s">
        <v>758</v>
      </c>
      <c r="X86">
        <v>137</v>
      </c>
      <c r="Y86" t="s">
        <v>911</v>
      </c>
      <c r="Z86" t="s">
        <v>907</v>
      </c>
      <c r="AA86" t="s">
        <v>1060</v>
      </c>
      <c r="AB86">
        <v>2</v>
      </c>
    </row>
    <row r="87" spans="1:30" x14ac:dyDescent="0.25">
      <c r="A87" s="4">
        <v>86</v>
      </c>
      <c r="B87" s="4" t="s">
        <v>492</v>
      </c>
      <c r="C87" s="28">
        <v>8.202</v>
      </c>
      <c r="D87" s="4">
        <v>1988</v>
      </c>
      <c r="E87" s="5" t="s">
        <v>9</v>
      </c>
      <c r="F87" s="10" t="s">
        <v>494</v>
      </c>
      <c r="G87" s="10" t="s">
        <v>495</v>
      </c>
      <c r="H87" s="10" t="s">
        <v>496</v>
      </c>
      <c r="I87" s="10" t="s">
        <v>493</v>
      </c>
      <c r="J87" s="10" t="s">
        <v>209</v>
      </c>
      <c r="M87" s="4">
        <v>8</v>
      </c>
      <c r="N87" s="4">
        <v>89</v>
      </c>
      <c r="O87" s="4">
        <v>3.9</v>
      </c>
      <c r="P87" s="20">
        <f>(M87+(N87/10)+(O87*2))/3</f>
        <v>8.2333333333333325</v>
      </c>
      <c r="Q87" s="20">
        <f>(M87+C87+(N87/10)+(O87*2))/4</f>
        <v>8.2254999999999985</v>
      </c>
      <c r="R87" s="20">
        <f>(M87+C87+(N87/10))/3</f>
        <v>8.3673333333333328</v>
      </c>
      <c r="S87" s="27">
        <f>IF(C87 &gt; 9.25, 10, IF(C87 &gt; 6.75, ROUND(C87, 0), MAX(1, FLOOR(C87, 1))))</f>
        <v>8</v>
      </c>
      <c r="T87" s="20">
        <f>S87/2</f>
        <v>4</v>
      </c>
      <c r="U87" s="25">
        <v>45231</v>
      </c>
      <c r="V87">
        <v>1</v>
      </c>
      <c r="W87" s="25" t="s">
        <v>758</v>
      </c>
      <c r="X87">
        <v>133</v>
      </c>
      <c r="Y87" t="s">
        <v>911</v>
      </c>
      <c r="Z87" t="s">
        <v>825</v>
      </c>
      <c r="AA87" s="25"/>
    </row>
    <row r="88" spans="1:30" s="9" customFormat="1" x14ac:dyDescent="0.25">
      <c r="A88" s="4">
        <v>87</v>
      </c>
      <c r="B88" s="4" t="s">
        <v>1127</v>
      </c>
      <c r="C88" s="28">
        <v>8.2010000000000005</v>
      </c>
      <c r="D88" s="4">
        <v>2023</v>
      </c>
      <c r="E88" s="10" t="s">
        <v>304</v>
      </c>
      <c r="F88" s="10" t="s">
        <v>1128</v>
      </c>
      <c r="G88" s="10" t="s">
        <v>1129</v>
      </c>
      <c r="H88" s="10" t="s">
        <v>1130</v>
      </c>
      <c r="I88" s="10" t="s">
        <v>581</v>
      </c>
      <c r="J88" s="10" t="s">
        <v>209</v>
      </c>
      <c r="K88" s="10" t="s">
        <v>227</v>
      </c>
      <c r="L88" t="s">
        <v>210</v>
      </c>
      <c r="M88" s="4">
        <v>7</v>
      </c>
      <c r="N88" s="4">
        <v>57</v>
      </c>
      <c r="O88" s="4">
        <v>3.3</v>
      </c>
      <c r="P88" s="20">
        <f>(M88+(N88/10)+(O88*2))/3</f>
        <v>6.4333333333333327</v>
      </c>
      <c r="Q88" s="20">
        <f>(M88+C88+(N88/10)+(O88*2))/4</f>
        <v>6.8752499999999994</v>
      </c>
      <c r="R88" s="20">
        <f>(M88+C88+(N88/10))/3</f>
        <v>6.9669999999999996</v>
      </c>
      <c r="S88" s="27">
        <f>IF(C88 &gt; 9.25, 10, IF(C88 &gt; 6.75, ROUND(C88, 0), MAX(1, FLOOR(C88, 1))))</f>
        <v>8</v>
      </c>
      <c r="T88" s="20">
        <f>S88/2</f>
        <v>4</v>
      </c>
      <c r="U88" s="25">
        <v>46173</v>
      </c>
      <c r="V88">
        <v>1</v>
      </c>
      <c r="W88" s="25" t="s">
        <v>758</v>
      </c>
      <c r="X88">
        <v>123</v>
      </c>
      <c r="Y88" t="s">
        <v>911</v>
      </c>
      <c r="Z88" t="s">
        <v>907</v>
      </c>
      <c r="AA88"/>
      <c r="AB88"/>
      <c r="AC88"/>
      <c r="AD88"/>
    </row>
    <row r="89" spans="1:30" x14ac:dyDescent="0.25">
      <c r="A89" s="4">
        <v>88</v>
      </c>
      <c r="B89" s="4" t="s">
        <v>148</v>
      </c>
      <c r="C89" s="28">
        <v>8.1069999999999993</v>
      </c>
      <c r="D89" s="4">
        <v>1993</v>
      </c>
      <c r="E89" s="10" t="s">
        <v>274</v>
      </c>
      <c r="F89" s="10" t="s">
        <v>275</v>
      </c>
      <c r="G89" s="10" t="s">
        <v>1185</v>
      </c>
      <c r="H89" s="10" t="s">
        <v>276</v>
      </c>
      <c r="I89" s="10" t="s">
        <v>149</v>
      </c>
      <c r="J89" s="5" t="s">
        <v>210</v>
      </c>
      <c r="K89" t="s">
        <v>209</v>
      </c>
      <c r="L89" s="10" t="s">
        <v>225</v>
      </c>
      <c r="M89" s="4">
        <v>7.8</v>
      </c>
      <c r="N89" s="4">
        <v>63</v>
      </c>
      <c r="O89" s="4">
        <v>3.8</v>
      </c>
      <c r="P89" s="20">
        <f>(M89+(N89/10)+(O89*2))/3</f>
        <v>7.2333333333333334</v>
      </c>
      <c r="Q89" s="20">
        <f>(M89+C89+(N89/10)+(O89*2))/4</f>
        <v>7.4517500000000005</v>
      </c>
      <c r="R89" s="20">
        <f>(M89+C89+(N89/10))/3</f>
        <v>7.4023333333333339</v>
      </c>
      <c r="S89" s="27">
        <f>IF(C89 &gt; 9.25, 10, IF(C89 &gt; 6.75, ROUND(C89, 0), MAX(1, FLOOR(C89, 1))))</f>
        <v>8</v>
      </c>
      <c r="T89" s="20">
        <f>S89/2</f>
        <v>4</v>
      </c>
      <c r="U89" s="25">
        <v>45718</v>
      </c>
      <c r="V89">
        <v>1</v>
      </c>
      <c r="W89" s="25" t="s">
        <v>758</v>
      </c>
      <c r="X89">
        <v>101</v>
      </c>
      <c r="Y89" t="s">
        <v>911</v>
      </c>
      <c r="Z89" t="s">
        <v>825</v>
      </c>
      <c r="AA89" s="25"/>
    </row>
    <row r="90" spans="1:30" x14ac:dyDescent="0.25">
      <c r="A90" s="4">
        <v>89</v>
      </c>
      <c r="B90" s="4" t="s">
        <v>1157</v>
      </c>
      <c r="C90" s="28">
        <v>8.1059999999999999</v>
      </c>
      <c r="D90" s="4">
        <v>1979</v>
      </c>
      <c r="E90" s="10" t="s">
        <v>1151</v>
      </c>
      <c r="F90" s="10" t="s">
        <v>1152</v>
      </c>
      <c r="G90" s="10" t="s">
        <v>1156</v>
      </c>
      <c r="H90" s="10" t="s">
        <v>1153</v>
      </c>
      <c r="I90" s="10" t="s">
        <v>1151</v>
      </c>
      <c r="J90" s="10" t="s">
        <v>210</v>
      </c>
      <c r="K90" s="10" t="s">
        <v>209</v>
      </c>
      <c r="L90" s="10" t="s">
        <v>1155</v>
      </c>
      <c r="M90" s="4">
        <v>7.3</v>
      </c>
      <c r="N90" s="4">
        <v>70</v>
      </c>
      <c r="O90" s="4">
        <v>3.8</v>
      </c>
      <c r="P90" s="20">
        <f>(M90+(N90/10)+(O90*2))/3</f>
        <v>7.3</v>
      </c>
      <c r="Q90" s="20">
        <f>(M90+C90+(N90/10)+(O90*2))/4</f>
        <v>7.5015000000000001</v>
      </c>
      <c r="R90" s="20">
        <f>(M90+C90+(N90/10))/3</f>
        <v>7.4686666666666666</v>
      </c>
      <c r="S90" s="27">
        <f>IF(C90 &gt; 9.25, 10, IF(C90 &gt; 6.75, ROUND(C90, 0), MAX(1, FLOOR(C90, 1))))</f>
        <v>8</v>
      </c>
      <c r="T90" s="20">
        <f>S90/2</f>
        <v>4</v>
      </c>
      <c r="U90" s="25">
        <v>46191</v>
      </c>
      <c r="V90">
        <v>1</v>
      </c>
      <c r="W90" s="25" t="s">
        <v>758</v>
      </c>
      <c r="X90">
        <v>119</v>
      </c>
      <c r="Y90" t="s">
        <v>911</v>
      </c>
      <c r="Z90" t="s">
        <v>907</v>
      </c>
      <c r="AA90" t="s">
        <v>1150</v>
      </c>
      <c r="AB90">
        <v>2</v>
      </c>
    </row>
    <row r="91" spans="1:30" x14ac:dyDescent="0.25">
      <c r="A91" s="4">
        <v>90</v>
      </c>
      <c r="B91" s="4" t="s">
        <v>1067</v>
      </c>
      <c r="C91" s="28">
        <v>8.1050000000000004</v>
      </c>
      <c r="D91" s="4">
        <v>2011</v>
      </c>
      <c r="E91" s="10" t="s">
        <v>576</v>
      </c>
      <c r="F91" s="10" t="s">
        <v>303</v>
      </c>
      <c r="G91" s="10" t="s">
        <v>567</v>
      </c>
      <c r="H91" s="10" t="s">
        <v>334</v>
      </c>
      <c r="I91" s="10" t="s">
        <v>1068</v>
      </c>
      <c r="J91" s="10" t="s">
        <v>208</v>
      </c>
      <c r="K91" s="10" t="s">
        <v>209</v>
      </c>
      <c r="M91" s="4">
        <v>7.8</v>
      </c>
      <c r="N91" s="4">
        <v>93</v>
      </c>
      <c r="O91" s="4">
        <v>3.9</v>
      </c>
      <c r="P91" s="20">
        <f>(M91+(N91/10)+(O91*2))/3</f>
        <v>8.3000000000000007</v>
      </c>
      <c r="Q91" s="20">
        <f>(M91+C91+(N91/10)+(O91*2))/4</f>
        <v>8.2512500000000006</v>
      </c>
      <c r="R91" s="20">
        <f>(M91+C91+(N91/10))/3</f>
        <v>8.4016666666666673</v>
      </c>
      <c r="S91" s="27">
        <f>IF(C91 &gt; 9.25, 10, IF(C91 &gt; 6.75, ROUND(C91, 0), MAX(1, FLOOR(C91, 1))))</f>
        <v>8</v>
      </c>
      <c r="T91" s="20">
        <f>S91/2</f>
        <v>4</v>
      </c>
      <c r="U91" s="25">
        <v>46132</v>
      </c>
      <c r="V91">
        <v>1</v>
      </c>
      <c r="W91" s="25" t="s">
        <v>758</v>
      </c>
      <c r="X91">
        <v>100</v>
      </c>
      <c r="Y91" t="s">
        <v>911</v>
      </c>
      <c r="Z91" t="s">
        <v>915</v>
      </c>
    </row>
    <row r="92" spans="1:30" x14ac:dyDescent="0.25">
      <c r="A92" s="4">
        <v>91</v>
      </c>
      <c r="B92" s="4" t="s">
        <v>961</v>
      </c>
      <c r="C92" s="28">
        <v>8.1039999999999992</v>
      </c>
      <c r="D92" s="4">
        <v>2025</v>
      </c>
      <c r="E92" s="10" t="s">
        <v>12</v>
      </c>
      <c r="F92" s="10" t="s">
        <v>964</v>
      </c>
      <c r="G92" s="10" t="s">
        <v>963</v>
      </c>
      <c r="H92" s="10" t="s">
        <v>509</v>
      </c>
      <c r="I92" s="10" t="s">
        <v>962</v>
      </c>
      <c r="J92" s="10" t="s">
        <v>208</v>
      </c>
      <c r="K92" s="10" t="s">
        <v>215</v>
      </c>
      <c r="L92" t="s">
        <v>217</v>
      </c>
      <c r="M92" s="4">
        <v>7.7</v>
      </c>
      <c r="N92" s="4">
        <v>94</v>
      </c>
      <c r="O92" s="4">
        <v>4.2</v>
      </c>
      <c r="P92" s="20">
        <f>(M92+(N92/10)+(O92*2))/3</f>
        <v>8.5</v>
      </c>
      <c r="Q92" s="20">
        <f>(M92+C92+(N92/10)+(O92*2))/4</f>
        <v>8.4009999999999998</v>
      </c>
      <c r="R92" s="20">
        <f>(M92+C92+(N92/10))/3</f>
        <v>8.4013333333333335</v>
      </c>
      <c r="S92" s="27">
        <f>IF(C92 &gt; 9.25, 10, IF(C92 &gt; 6.75, ROUND(C92, 0), MAX(1, FLOOR(C92, 1))))</f>
        <v>8</v>
      </c>
      <c r="T92" s="20">
        <f>S92/2</f>
        <v>4</v>
      </c>
      <c r="U92" s="25">
        <v>46057</v>
      </c>
      <c r="V92">
        <v>1</v>
      </c>
      <c r="W92" s="25" t="s">
        <v>758</v>
      </c>
      <c r="X92">
        <v>162</v>
      </c>
      <c r="Y92" t="s">
        <v>911</v>
      </c>
      <c r="Z92" t="s">
        <v>915</v>
      </c>
      <c r="AA92" s="25"/>
    </row>
    <row r="93" spans="1:30" x14ac:dyDescent="0.25">
      <c r="A93" s="4">
        <v>92</v>
      </c>
      <c r="B93" s="4" t="s">
        <v>718</v>
      </c>
      <c r="C93" s="28">
        <v>8.1029999999999998</v>
      </c>
      <c r="D93" s="4">
        <v>1990</v>
      </c>
      <c r="E93" s="10" t="s">
        <v>41</v>
      </c>
      <c r="F93" s="10" t="s">
        <v>445</v>
      </c>
      <c r="G93" s="10" t="s">
        <v>768</v>
      </c>
      <c r="H93" s="10" t="s">
        <v>762</v>
      </c>
      <c r="I93" s="10" t="s">
        <v>971</v>
      </c>
      <c r="J93" s="10" t="s">
        <v>209</v>
      </c>
      <c r="K93" s="10" t="s">
        <v>215</v>
      </c>
      <c r="L93" s="10" t="s">
        <v>672</v>
      </c>
      <c r="M93" s="4">
        <v>7.6</v>
      </c>
      <c r="N93" s="4">
        <v>66</v>
      </c>
      <c r="O93" s="4">
        <v>3.5</v>
      </c>
      <c r="P93" s="20">
        <f>(M93+(N93/10)+(O93*2))/3</f>
        <v>7.0666666666666664</v>
      </c>
      <c r="Q93" s="20">
        <f>(M93+C93+(N93/10)+(O93*2))/4</f>
        <v>7.3257499999999993</v>
      </c>
      <c r="R93" s="20">
        <f>(M93+C93+(N93/10))/3</f>
        <v>7.4343333333333321</v>
      </c>
      <c r="S93" s="27">
        <f>IF(C93 &gt; 9.25, 10, IF(C93 &gt; 6.75, ROUND(C93, 0), MAX(1, FLOOR(C93, 1))))</f>
        <v>8</v>
      </c>
      <c r="T93" s="20">
        <f>S93/2</f>
        <v>4</v>
      </c>
      <c r="U93" s="25">
        <v>45894</v>
      </c>
      <c r="V93">
        <v>1</v>
      </c>
      <c r="W93" s="25" t="s">
        <v>758</v>
      </c>
      <c r="X93">
        <v>162</v>
      </c>
      <c r="Y93" t="s">
        <v>911</v>
      </c>
      <c r="Z93" t="s">
        <v>825</v>
      </c>
      <c r="AA93" s="25" t="s">
        <v>489</v>
      </c>
      <c r="AB93">
        <v>3</v>
      </c>
    </row>
    <row r="94" spans="1:30" x14ac:dyDescent="0.25">
      <c r="A94" s="4">
        <v>93</v>
      </c>
      <c r="B94" s="4" t="s">
        <v>1331</v>
      </c>
      <c r="C94" s="28">
        <v>8.1020000000000003</v>
      </c>
      <c r="D94" s="4">
        <v>1996</v>
      </c>
      <c r="E94" s="10" t="s">
        <v>1332</v>
      </c>
      <c r="F94" s="10" t="s">
        <v>1333</v>
      </c>
      <c r="G94" s="10" t="s">
        <v>400</v>
      </c>
      <c r="H94" s="10" t="s">
        <v>1123</v>
      </c>
      <c r="I94" s="10" t="s">
        <v>1112</v>
      </c>
      <c r="J94" s="10" t="s">
        <v>215</v>
      </c>
      <c r="K94" s="10" t="s">
        <v>219</v>
      </c>
      <c r="L94" s="10" t="s">
        <v>209</v>
      </c>
      <c r="M94" s="4">
        <v>8.1</v>
      </c>
      <c r="N94" s="4">
        <v>95</v>
      </c>
      <c r="O94" s="4">
        <v>4.0999999999999996</v>
      </c>
      <c r="P94" s="20">
        <f>(M94+(N94/10)+(O94*2))/3</f>
        <v>8.6</v>
      </c>
      <c r="Q94" s="20">
        <f>(M94+C94+(N94/10)+(O94*2))/4</f>
        <v>8.4755000000000003</v>
      </c>
      <c r="R94" s="20">
        <f>(M94+C94+(N94/10))/3</f>
        <v>8.5673333333333321</v>
      </c>
      <c r="S94" s="27">
        <f>IF(C94 &gt; 9.25, 10, IF(C94 &gt; 6.75, ROUND(C94, 0), MAX(1, FLOOR(C94, 1))))</f>
        <v>8</v>
      </c>
      <c r="T94" s="20">
        <f>S94/2</f>
        <v>4</v>
      </c>
      <c r="U94" s="25">
        <v>46244</v>
      </c>
      <c r="V94">
        <v>1</v>
      </c>
      <c r="W94" s="25" t="s">
        <v>758</v>
      </c>
      <c r="X94">
        <v>98</v>
      </c>
      <c r="Y94" t="s">
        <v>911</v>
      </c>
      <c r="Z94" t="s">
        <v>907</v>
      </c>
    </row>
    <row r="95" spans="1:30" x14ac:dyDescent="0.25">
      <c r="A95" s="4">
        <v>94</v>
      </c>
      <c r="B95" s="4" t="s">
        <v>969</v>
      </c>
      <c r="C95" s="28">
        <v>8.1010000000000009</v>
      </c>
      <c r="D95" s="4">
        <v>2002</v>
      </c>
      <c r="E95" s="10" t="s">
        <v>12</v>
      </c>
      <c r="F95" s="10" t="s">
        <v>1184</v>
      </c>
      <c r="G95" s="10" t="s">
        <v>970</v>
      </c>
      <c r="H95" s="10" t="s">
        <v>479</v>
      </c>
      <c r="I95" s="10" t="s">
        <v>35</v>
      </c>
      <c r="J95" s="10" t="s">
        <v>215</v>
      </c>
      <c r="K95" s="10" t="s">
        <v>209</v>
      </c>
      <c r="L95" s="10" t="s">
        <v>672</v>
      </c>
      <c r="M95" s="4">
        <v>7.5</v>
      </c>
      <c r="N95" s="4">
        <v>72</v>
      </c>
      <c r="O95" s="4">
        <v>3.7</v>
      </c>
      <c r="P95" s="20">
        <f>(M95+(N95/10)+(O95*2))/3</f>
        <v>7.3666666666666671</v>
      </c>
      <c r="Q95" s="20">
        <f>(M95+C95+(N95/10)+(O95*2))/4</f>
        <v>7.5502500000000001</v>
      </c>
      <c r="R95" s="20">
        <f>(M95+C95+(N95/10))/3</f>
        <v>7.6003333333333343</v>
      </c>
      <c r="S95" s="27">
        <f>IF(C95 &gt; 9.25, 10, IF(C95 &gt; 6.75, ROUND(C95, 0), MAX(1, FLOOR(C95, 1))))</f>
        <v>8</v>
      </c>
      <c r="T95" s="20">
        <f>S95/2</f>
        <v>4</v>
      </c>
      <c r="U95" s="25">
        <v>46060</v>
      </c>
      <c r="V95">
        <v>1</v>
      </c>
      <c r="W95" s="25" t="s">
        <v>758</v>
      </c>
      <c r="X95">
        <v>167</v>
      </c>
      <c r="Y95" t="s">
        <v>911</v>
      </c>
      <c r="Z95" t="s">
        <v>907</v>
      </c>
      <c r="AA95" s="25"/>
    </row>
    <row r="96" spans="1:30" x14ac:dyDescent="0.25">
      <c r="A96" s="4">
        <v>95</v>
      </c>
      <c r="B96" s="4" t="s">
        <v>525</v>
      </c>
      <c r="C96" s="28">
        <v>8.0069999999999997</v>
      </c>
      <c r="D96" s="4">
        <v>2023</v>
      </c>
      <c r="E96" s="5" t="s">
        <v>529</v>
      </c>
      <c r="F96" s="10" t="s">
        <v>19</v>
      </c>
      <c r="G96" s="10" t="s">
        <v>530</v>
      </c>
      <c r="H96" s="10" t="s">
        <v>508</v>
      </c>
      <c r="I96" s="10" t="s">
        <v>38</v>
      </c>
      <c r="J96" s="10" t="s">
        <v>220</v>
      </c>
      <c r="K96" s="10" t="s">
        <v>209</v>
      </c>
      <c r="L96" s="10" t="s">
        <v>227</v>
      </c>
      <c r="M96" s="4">
        <v>8.3000000000000007</v>
      </c>
      <c r="N96" s="4">
        <v>93</v>
      </c>
      <c r="O96" s="4">
        <v>4.2</v>
      </c>
      <c r="P96" s="20">
        <f>(M96+(N96/10)+(O96*2))/3</f>
        <v>8.6666666666666661</v>
      </c>
      <c r="Q96" s="20">
        <f>(M96+C96+(N96/10)+(O96*2))/4</f>
        <v>8.5017500000000013</v>
      </c>
      <c r="R96" s="20">
        <f>(M96+C96+(N96/10))/3</f>
        <v>8.5356666666666676</v>
      </c>
      <c r="S96" s="27">
        <f>IF(C96 &gt; 9.25, 10, IF(C96 &gt; 6.75, ROUND(C96, 0), MAX(1, FLOOR(C96, 1))))</f>
        <v>8</v>
      </c>
      <c r="T96" s="20">
        <f>S96/2</f>
        <v>4</v>
      </c>
      <c r="U96" s="25">
        <v>45364</v>
      </c>
      <c r="V96">
        <v>1</v>
      </c>
      <c r="W96" s="25" t="s">
        <v>758</v>
      </c>
      <c r="X96">
        <v>180</v>
      </c>
      <c r="Y96" t="s">
        <v>828</v>
      </c>
      <c r="Z96" t="s">
        <v>920</v>
      </c>
      <c r="AA96" s="25"/>
    </row>
    <row r="97" spans="1:28" x14ac:dyDescent="0.25">
      <c r="A97" s="4">
        <v>96</v>
      </c>
      <c r="B97" s="4" t="s">
        <v>996</v>
      </c>
      <c r="C97" s="28">
        <v>8.0060000000000002</v>
      </c>
      <c r="D97" s="4">
        <v>2008</v>
      </c>
      <c r="E97" s="10" t="s">
        <v>530</v>
      </c>
      <c r="F97" s="10" t="s">
        <v>1177</v>
      </c>
      <c r="G97" s="10" t="s">
        <v>999</v>
      </c>
      <c r="H97" s="10" t="s">
        <v>998</v>
      </c>
      <c r="I97" s="10" t="s">
        <v>997</v>
      </c>
      <c r="J97" s="10" t="s">
        <v>208</v>
      </c>
      <c r="K97" s="10" t="s">
        <v>223</v>
      </c>
      <c r="L97" s="10" t="s">
        <v>951</v>
      </c>
      <c r="M97" s="4">
        <v>7.9</v>
      </c>
      <c r="N97" s="4">
        <v>94</v>
      </c>
      <c r="O97" s="4">
        <v>3.8</v>
      </c>
      <c r="P97" s="20">
        <f>(M97+(N97/10)+(O97*2))/3</f>
        <v>8.2999999999999989</v>
      </c>
      <c r="Q97" s="20">
        <f>(M97+C97+(N97/10)+(O97*2))/4</f>
        <v>8.2264999999999997</v>
      </c>
      <c r="R97" s="20">
        <f>(M97+C97+(N97/10))/3</f>
        <v>8.4353333333333342</v>
      </c>
      <c r="S97" s="27">
        <f>IF(C97 &gt; 9.25, 10, IF(C97 &gt; 6.75, ROUND(C97, 0), MAX(1, FLOOR(C97, 1))))</f>
        <v>8</v>
      </c>
      <c r="T97" s="20">
        <f>S97/2</f>
        <v>4</v>
      </c>
      <c r="U97" s="25">
        <v>46069</v>
      </c>
      <c r="V97">
        <v>1</v>
      </c>
      <c r="W97" s="25" t="s">
        <v>758</v>
      </c>
      <c r="X97">
        <v>126</v>
      </c>
      <c r="Y97" t="s">
        <v>911</v>
      </c>
      <c r="Z97" t="s">
        <v>907</v>
      </c>
      <c r="AA97" t="s">
        <v>996</v>
      </c>
      <c r="AB97">
        <v>1</v>
      </c>
    </row>
    <row r="98" spans="1:28" x14ac:dyDescent="0.25">
      <c r="A98" s="4">
        <v>97</v>
      </c>
      <c r="B98" s="4" t="s">
        <v>1125</v>
      </c>
      <c r="C98" s="28">
        <v>8.0050000000000008</v>
      </c>
      <c r="D98" s="4">
        <v>2016</v>
      </c>
      <c r="E98" s="10" t="s">
        <v>985</v>
      </c>
      <c r="F98" s="10" t="s">
        <v>530</v>
      </c>
      <c r="G98" s="10" t="s">
        <v>1002</v>
      </c>
      <c r="H98" s="10" t="s">
        <v>988</v>
      </c>
      <c r="I98" s="10" t="s">
        <v>1056</v>
      </c>
      <c r="J98" s="10" t="s">
        <v>208</v>
      </c>
      <c r="K98" s="10" t="s">
        <v>223</v>
      </c>
      <c r="L98" s="10" t="s">
        <v>951</v>
      </c>
      <c r="M98" s="4">
        <v>7.8</v>
      </c>
      <c r="N98" s="4">
        <v>90</v>
      </c>
      <c r="O98" s="4">
        <v>3.7</v>
      </c>
      <c r="P98" s="20">
        <f>(M98+(N98/10)+(O98*2))/3</f>
        <v>8.0666666666666682</v>
      </c>
      <c r="Q98" s="20">
        <f>(M98+C98+(N98/10)+(O98*2))/4</f>
        <v>8.0512499999999996</v>
      </c>
      <c r="R98" s="20">
        <f>(M98+C98+(N98/10))/3</f>
        <v>8.2683333333333326</v>
      </c>
      <c r="S98" s="27">
        <f>IF(C98 &gt; 9.25, 10, IF(C98 &gt; 6.75, ROUND(C98, 0), MAX(1, FLOOR(C98, 1))))</f>
        <v>8</v>
      </c>
      <c r="T98" s="20">
        <f>S98/2</f>
        <v>4</v>
      </c>
      <c r="U98" s="25">
        <v>46172</v>
      </c>
      <c r="V98">
        <v>1</v>
      </c>
      <c r="W98" s="25" t="s">
        <v>758</v>
      </c>
      <c r="X98">
        <v>148</v>
      </c>
      <c r="Y98" t="s">
        <v>911</v>
      </c>
      <c r="Z98" t="s">
        <v>907</v>
      </c>
      <c r="AA98" t="s">
        <v>993</v>
      </c>
      <c r="AB98">
        <v>3</v>
      </c>
    </row>
    <row r="99" spans="1:28" x14ac:dyDescent="0.25">
      <c r="A99" s="4">
        <v>98</v>
      </c>
      <c r="B99" s="4" t="s">
        <v>102</v>
      </c>
      <c r="C99" s="28">
        <v>8.0039999999999996</v>
      </c>
      <c r="D99" s="4">
        <v>2004</v>
      </c>
      <c r="E99" s="5" t="s">
        <v>10</v>
      </c>
      <c r="F99" s="10" t="s">
        <v>103</v>
      </c>
      <c r="G99" s="10" t="s">
        <v>104</v>
      </c>
      <c r="H99" s="10" t="s">
        <v>105</v>
      </c>
      <c r="I99" s="10" t="s">
        <v>36</v>
      </c>
      <c r="J99" s="10" t="s">
        <v>219</v>
      </c>
      <c r="M99" s="4">
        <v>7.1</v>
      </c>
      <c r="N99" s="4">
        <v>66</v>
      </c>
      <c r="O99" s="4">
        <v>3.5</v>
      </c>
      <c r="P99" s="20">
        <f>(M99+(N99/10)+(O99*2))/3</f>
        <v>6.8999999999999995</v>
      </c>
      <c r="Q99" s="20">
        <f>(M99+C99+(N99/10)+(O99*2))/4</f>
        <v>7.1760000000000002</v>
      </c>
      <c r="R99" s="20">
        <f>(M99+C99+(N99/10))/3</f>
        <v>7.2346666666666666</v>
      </c>
      <c r="S99" s="27">
        <f>IF(C99 &gt; 9.25, 10, IF(C99 &gt; 6.75, ROUND(C99, 0), MAX(1, FLOOR(C99, 1))))</f>
        <v>8</v>
      </c>
      <c r="T99" s="20">
        <f>S99/2</f>
        <v>4</v>
      </c>
      <c r="U99" s="25">
        <v>45891</v>
      </c>
      <c r="V99">
        <v>2</v>
      </c>
      <c r="W99" s="25" t="s">
        <v>758</v>
      </c>
      <c r="X99">
        <v>94</v>
      </c>
      <c r="Y99" t="s">
        <v>911</v>
      </c>
      <c r="Z99" t="s">
        <v>825</v>
      </c>
      <c r="AA99" s="25"/>
    </row>
    <row r="100" spans="1:28" x14ac:dyDescent="0.25">
      <c r="A100" s="4">
        <v>99</v>
      </c>
      <c r="B100" s="7" t="s">
        <v>550</v>
      </c>
      <c r="C100" s="28">
        <v>8.0030000000000001</v>
      </c>
      <c r="D100" s="7">
        <v>2023</v>
      </c>
      <c r="E100" s="8" t="s">
        <v>551</v>
      </c>
      <c r="F100" s="11" t="s">
        <v>552</v>
      </c>
      <c r="G100" s="10" t="s">
        <v>553</v>
      </c>
      <c r="H100" s="10" t="s">
        <v>554</v>
      </c>
      <c r="I100" s="10" t="s">
        <v>555</v>
      </c>
      <c r="J100" t="s">
        <v>648</v>
      </c>
      <c r="K100" t="s">
        <v>222</v>
      </c>
      <c r="L100" t="s">
        <v>209</v>
      </c>
      <c r="M100" s="4">
        <v>7.2</v>
      </c>
      <c r="N100" s="4">
        <v>65</v>
      </c>
      <c r="O100" s="4">
        <v>3.4</v>
      </c>
      <c r="P100" s="20">
        <f>(M100+(N100/10)+(O100*2))/3</f>
        <v>6.833333333333333</v>
      </c>
      <c r="Q100" s="20">
        <f>(M100+C100+(N100/10)+(O100*2))/4</f>
        <v>7.12575</v>
      </c>
      <c r="R100" s="20">
        <f>(M100+C100+(N100/10))/3</f>
        <v>7.2343333333333328</v>
      </c>
      <c r="S100" s="27">
        <f>IF(C100 &gt; 9.25, 10, IF(C100 &gt; 6.75, ROUND(C100, 0), MAX(1, FLOOR(C100, 1))))</f>
        <v>8</v>
      </c>
      <c r="T100" s="20">
        <f>S100/2</f>
        <v>4</v>
      </c>
      <c r="U100" s="25">
        <v>45370</v>
      </c>
      <c r="V100">
        <v>1</v>
      </c>
      <c r="W100" s="25" t="s">
        <v>758</v>
      </c>
      <c r="X100">
        <v>134</v>
      </c>
      <c r="Y100" t="s">
        <v>828</v>
      </c>
      <c r="Z100" t="s">
        <v>920</v>
      </c>
      <c r="AA100" s="25"/>
    </row>
    <row r="101" spans="1:28" x14ac:dyDescent="0.25">
      <c r="A101" s="4">
        <v>100</v>
      </c>
      <c r="B101" s="4" t="s">
        <v>720</v>
      </c>
      <c r="C101" s="28">
        <v>8.0020000000000007</v>
      </c>
      <c r="D101" s="4">
        <v>2010</v>
      </c>
      <c r="E101" s="5" t="s">
        <v>777</v>
      </c>
      <c r="F101" s="10" t="s">
        <v>788</v>
      </c>
      <c r="G101" s="10" t="s">
        <v>787</v>
      </c>
      <c r="H101" s="10" t="s">
        <v>786</v>
      </c>
      <c r="I101" s="10" t="s">
        <v>54</v>
      </c>
      <c r="J101" s="10" t="s">
        <v>209</v>
      </c>
      <c r="K101" s="10" t="s">
        <v>220</v>
      </c>
      <c r="L101" s="10" t="s">
        <v>673</v>
      </c>
      <c r="M101" s="4">
        <v>7.8</v>
      </c>
      <c r="N101" s="4">
        <v>96</v>
      </c>
      <c r="O101" s="4">
        <v>3.9</v>
      </c>
      <c r="P101" s="20">
        <f>(M101+(N101/10)+(O101*2))/3</f>
        <v>8.4</v>
      </c>
      <c r="Q101" s="20">
        <f>(M101+C101+(N101/10)+(O101*2))/4</f>
        <v>8.3004999999999995</v>
      </c>
      <c r="R101" s="20">
        <f>(M101+C101+(N101/10))/3</f>
        <v>8.4673333333333343</v>
      </c>
      <c r="S101" s="27">
        <f>IF(C101 &gt; 9.25, 10, IF(C101 &gt; 6.75, ROUND(C101, 0), MAX(1, FLOOR(C101, 1))))</f>
        <v>8</v>
      </c>
      <c r="T101" s="20">
        <f>S101/2</f>
        <v>4</v>
      </c>
      <c r="U101" s="25">
        <v>46030</v>
      </c>
      <c r="V101">
        <v>1</v>
      </c>
      <c r="W101" s="25" t="s">
        <v>758</v>
      </c>
      <c r="X101">
        <v>120</v>
      </c>
      <c r="Y101" t="s">
        <v>911</v>
      </c>
      <c r="Z101" t="s">
        <v>907</v>
      </c>
      <c r="AA101" s="25"/>
    </row>
    <row r="102" spans="1:28" x14ac:dyDescent="0.25">
      <c r="A102" s="4">
        <v>101</v>
      </c>
      <c r="B102" s="4" t="s">
        <v>85</v>
      </c>
      <c r="C102" s="28">
        <v>8.0009999999999994</v>
      </c>
      <c r="D102" s="4">
        <v>2002</v>
      </c>
      <c r="E102" s="5" t="s">
        <v>12</v>
      </c>
      <c r="F102" s="10" t="s">
        <v>63</v>
      </c>
      <c r="G102" s="5" t="s">
        <v>25</v>
      </c>
      <c r="H102" s="5" t="s">
        <v>1176</v>
      </c>
      <c r="I102" s="5" t="s">
        <v>64</v>
      </c>
      <c r="J102" s="5" t="s">
        <v>215</v>
      </c>
      <c r="K102" s="5" t="s">
        <v>209</v>
      </c>
      <c r="L102" s="10" t="s">
        <v>220</v>
      </c>
      <c r="M102" s="4">
        <v>8.1</v>
      </c>
      <c r="N102" s="4">
        <v>96</v>
      </c>
      <c r="O102" s="4">
        <v>4</v>
      </c>
      <c r="P102" s="20">
        <f>(M102+(N102/10)+(O102*2))/3</f>
        <v>8.5666666666666664</v>
      </c>
      <c r="Q102" s="20">
        <f>(M102+C102+(N102/10)+(O102*2))/4</f>
        <v>8.4252500000000001</v>
      </c>
      <c r="R102" s="20">
        <f>(M102+C102+(N102/10))/3</f>
        <v>8.5670000000000002</v>
      </c>
      <c r="S102" s="27">
        <f>IF(C102 &gt; 9.25, 10, IF(C102 &gt; 6.75, ROUND(C102, 0), MAX(1, FLOOR(C102, 1))))</f>
        <v>8</v>
      </c>
      <c r="T102" s="20">
        <f>S102/2</f>
        <v>4</v>
      </c>
      <c r="U102" s="25">
        <v>45785</v>
      </c>
      <c r="V102">
        <v>2</v>
      </c>
      <c r="W102" s="25" t="s">
        <v>758</v>
      </c>
      <c r="X102">
        <v>141</v>
      </c>
      <c r="Y102" t="s">
        <v>911</v>
      </c>
      <c r="Z102" t="s">
        <v>907</v>
      </c>
      <c r="AA102" s="25"/>
    </row>
    <row r="103" spans="1:28" x14ac:dyDescent="0.25">
      <c r="A103" s="4">
        <v>102</v>
      </c>
      <c r="B103" s="4" t="s">
        <v>717</v>
      </c>
      <c r="C103" s="28">
        <v>7.9059999999999997</v>
      </c>
      <c r="D103" s="4">
        <v>2007</v>
      </c>
      <c r="E103" s="10" t="s">
        <v>24</v>
      </c>
      <c r="F103" s="10" t="s">
        <v>338</v>
      </c>
      <c r="G103" s="10" t="s">
        <v>800</v>
      </c>
      <c r="H103" s="10" t="s">
        <v>767</v>
      </c>
      <c r="I103" s="10" t="s">
        <v>706</v>
      </c>
      <c r="J103" s="10" t="s">
        <v>217</v>
      </c>
      <c r="K103" s="10" t="s">
        <v>209</v>
      </c>
      <c r="L103" s="10" t="s">
        <v>208</v>
      </c>
      <c r="M103" s="4">
        <v>7.1</v>
      </c>
      <c r="N103" s="4">
        <v>47</v>
      </c>
      <c r="O103" s="4">
        <v>3.2</v>
      </c>
      <c r="P103" s="20">
        <f>(M103+(N103/10)+(O103*2))/3</f>
        <v>6.0666666666666673</v>
      </c>
      <c r="Q103" s="20">
        <f>(M103+C103+(N103/10)+(O103*2))/4</f>
        <v>6.5265000000000004</v>
      </c>
      <c r="R103" s="20">
        <f>(M103+C103+(N103/10))/3</f>
        <v>6.5686666666666662</v>
      </c>
      <c r="S103" s="27">
        <f>IF(C103 &gt; 9.25, 10, IF(C103 &gt; 6.75, ROUND(C103, 0), MAX(1, FLOOR(C103, 1))))</f>
        <v>8</v>
      </c>
      <c r="T103" s="20">
        <f>S103/2</f>
        <v>4</v>
      </c>
      <c r="U103" s="25">
        <v>45848</v>
      </c>
      <c r="V103">
        <v>1</v>
      </c>
      <c r="W103" s="25" t="s">
        <v>758</v>
      </c>
      <c r="X103">
        <v>124</v>
      </c>
      <c r="Y103" t="s">
        <v>911</v>
      </c>
      <c r="Z103" t="s">
        <v>907</v>
      </c>
      <c r="AA103" s="25"/>
    </row>
    <row r="104" spans="1:28" x14ac:dyDescent="0.25">
      <c r="A104" s="4">
        <v>103</v>
      </c>
      <c r="B104" s="4" t="s">
        <v>1003</v>
      </c>
      <c r="C104" s="28">
        <v>7.9050000000000002</v>
      </c>
      <c r="D104" s="4">
        <v>2008</v>
      </c>
      <c r="E104" s="10" t="s">
        <v>235</v>
      </c>
      <c r="F104" s="10" t="s">
        <v>1004</v>
      </c>
      <c r="G104" s="10" t="s">
        <v>398</v>
      </c>
      <c r="H104" s="10" t="s">
        <v>1006</v>
      </c>
      <c r="I104" s="10" t="s">
        <v>1005</v>
      </c>
      <c r="J104" s="10" t="s">
        <v>208</v>
      </c>
      <c r="K104" s="10" t="s">
        <v>223</v>
      </c>
      <c r="L104" s="10" t="s">
        <v>951</v>
      </c>
      <c r="M104" s="4">
        <v>6.6</v>
      </c>
      <c r="N104" s="4">
        <v>68</v>
      </c>
      <c r="O104" s="4">
        <v>2.5</v>
      </c>
      <c r="P104" s="20">
        <f>(M104+(N104/10)+(O104*2))/3</f>
        <v>6.1333333333333329</v>
      </c>
      <c r="Q104" s="20">
        <f>(M104+C104+(N104/10)+(O104*2))/4</f>
        <v>6.5762499999999999</v>
      </c>
      <c r="R104" s="20">
        <f>(M104+C104+(N104/10))/3</f>
        <v>7.1016666666666666</v>
      </c>
      <c r="S104" s="27">
        <f>IF(C104 &gt; 9.25, 10, IF(C104 &gt; 6.75, ROUND(C104, 0), MAX(1, FLOOR(C104, 1))))</f>
        <v>8</v>
      </c>
      <c r="T104" s="20">
        <f>S104/2</f>
        <v>4</v>
      </c>
      <c r="U104" s="25">
        <v>46072</v>
      </c>
      <c r="V104">
        <v>1</v>
      </c>
      <c r="W104" s="25" t="s">
        <v>758</v>
      </c>
      <c r="X104">
        <v>114</v>
      </c>
      <c r="Y104" t="s">
        <v>911</v>
      </c>
      <c r="Z104" t="s">
        <v>907</v>
      </c>
      <c r="AA104" t="s">
        <v>1126</v>
      </c>
      <c r="AB104">
        <v>5</v>
      </c>
    </row>
    <row r="105" spans="1:28" x14ac:dyDescent="0.25">
      <c r="A105" s="4">
        <v>104</v>
      </c>
      <c r="B105" s="4" t="s">
        <v>728</v>
      </c>
      <c r="C105" s="28">
        <v>7.9039999999999999</v>
      </c>
      <c r="D105" s="4">
        <v>2004</v>
      </c>
      <c r="E105" s="10" t="s">
        <v>46</v>
      </c>
      <c r="F105" s="10" t="s">
        <v>789</v>
      </c>
      <c r="G105" s="10" t="s">
        <v>830</v>
      </c>
      <c r="H105" s="10" t="s">
        <v>790</v>
      </c>
      <c r="I105" s="10" t="s">
        <v>719</v>
      </c>
      <c r="J105" s="9" t="s">
        <v>221</v>
      </c>
      <c r="K105" s="9" t="s">
        <v>219</v>
      </c>
      <c r="L105" s="9" t="s">
        <v>209</v>
      </c>
      <c r="M105" s="4">
        <v>6.8</v>
      </c>
      <c r="N105" s="4">
        <v>45</v>
      </c>
      <c r="O105" s="7">
        <v>3.4</v>
      </c>
      <c r="P105" s="20">
        <f>(M105+(N105/10)+(O105*2))/3</f>
        <v>6.0333333333333341</v>
      </c>
      <c r="Q105" s="20">
        <f>(M105+C105+(N105/10)+(O105*2))/4</f>
        <v>6.5010000000000003</v>
      </c>
      <c r="R105" s="20">
        <f>(M105+C105+(N105/10))/3</f>
        <v>6.4013333333333335</v>
      </c>
      <c r="S105" s="27">
        <f>IF(C105 &gt; 9.25, 10, IF(C105 &gt; 6.75, ROUND(C105, 0), MAX(1, FLOOR(C105, 1))))</f>
        <v>8</v>
      </c>
      <c r="T105" s="20">
        <f>S105/2</f>
        <v>4</v>
      </c>
      <c r="U105" s="26">
        <v>45838</v>
      </c>
      <c r="V105">
        <v>1</v>
      </c>
      <c r="W105" s="9" t="s">
        <v>758</v>
      </c>
      <c r="X105" s="9">
        <v>106</v>
      </c>
      <c r="Y105" s="9" t="s">
        <v>911</v>
      </c>
      <c r="Z105" t="s">
        <v>907</v>
      </c>
      <c r="AA105" s="26"/>
    </row>
    <row r="106" spans="1:28" x14ac:dyDescent="0.25">
      <c r="A106" s="4">
        <v>105</v>
      </c>
      <c r="B106" s="4" t="s">
        <v>1087</v>
      </c>
      <c r="C106" s="28">
        <v>7.9029999999999996</v>
      </c>
      <c r="D106" s="4">
        <v>2015</v>
      </c>
      <c r="E106" s="10" t="s">
        <v>530</v>
      </c>
      <c r="F106" s="10" t="s">
        <v>985</v>
      </c>
      <c r="G106" s="10" t="s">
        <v>309</v>
      </c>
      <c r="H106" s="10" t="s">
        <v>1002</v>
      </c>
      <c r="I106" s="10" t="s">
        <v>1029</v>
      </c>
      <c r="J106" s="10" t="s">
        <v>208</v>
      </c>
      <c r="K106" s="10" t="s">
        <v>223</v>
      </c>
      <c r="L106" s="10" t="s">
        <v>951</v>
      </c>
      <c r="M106" s="4">
        <v>7.3</v>
      </c>
      <c r="N106" s="4">
        <v>75</v>
      </c>
      <c r="O106" s="4">
        <v>3.3</v>
      </c>
      <c r="P106" s="20">
        <f>(M106+(N106/10)+(O106*2))/3</f>
        <v>7.1333333333333329</v>
      </c>
      <c r="Q106" s="20">
        <f>(M106+C106+(N106/10)+(O106*2))/4</f>
        <v>7.3257499999999993</v>
      </c>
      <c r="R106" s="20">
        <f>(M106+C106+(N106/10))/3</f>
        <v>7.5676666666666668</v>
      </c>
      <c r="S106" s="27">
        <f>IF(C106 &gt; 9.25, 10, IF(C106 &gt; 6.75, ROUND(C106, 0), MAX(1, FLOOR(C106, 1))))</f>
        <v>8</v>
      </c>
      <c r="T106" s="20">
        <f>S106/2</f>
        <v>4</v>
      </c>
      <c r="U106" s="25">
        <v>46151</v>
      </c>
      <c r="V106">
        <v>1</v>
      </c>
      <c r="W106" s="25" t="s">
        <v>758</v>
      </c>
      <c r="X106">
        <v>141</v>
      </c>
      <c r="Y106" t="s">
        <v>911</v>
      </c>
      <c r="Z106" t="s">
        <v>907</v>
      </c>
      <c r="AA106" t="s">
        <v>1126</v>
      </c>
      <c r="AB106">
        <v>13</v>
      </c>
    </row>
    <row r="107" spans="1:28" x14ac:dyDescent="0.25">
      <c r="A107" s="4">
        <v>106</v>
      </c>
      <c r="B107" s="4" t="s">
        <v>760</v>
      </c>
      <c r="C107" s="28">
        <v>7.9020000000000001</v>
      </c>
      <c r="D107" s="4">
        <v>1993</v>
      </c>
      <c r="E107" s="10" t="s">
        <v>118</v>
      </c>
      <c r="F107" s="10" t="s">
        <v>781</v>
      </c>
      <c r="G107" s="10" t="s">
        <v>796</v>
      </c>
      <c r="H107" s="10" t="s">
        <v>898</v>
      </c>
      <c r="I107" s="10" t="s">
        <v>740</v>
      </c>
      <c r="J107" s="10" t="s">
        <v>209</v>
      </c>
      <c r="K107" s="10" t="s">
        <v>219</v>
      </c>
      <c r="L107" s="10" t="s">
        <v>221</v>
      </c>
      <c r="M107" s="4">
        <v>8</v>
      </c>
      <c r="N107" s="4">
        <v>94</v>
      </c>
      <c r="O107" s="4">
        <v>3.8</v>
      </c>
      <c r="P107" s="20">
        <f>(M107+(N107/10)+(O107*2))/3</f>
        <v>8.3333333333333339</v>
      </c>
      <c r="Q107" s="20">
        <f>(M107+C107+(N107/10)+(O107*2))/4</f>
        <v>8.2255000000000003</v>
      </c>
      <c r="R107" s="20">
        <f>(M107+C107+(N107/10))/3</f>
        <v>8.4339999999999993</v>
      </c>
      <c r="S107" s="27">
        <f>IF(C107 &gt; 9.25, 10, IF(C107 &gt; 6.75, ROUND(C107, 0), MAX(1, FLOOR(C107, 1))))</f>
        <v>8</v>
      </c>
      <c r="T107" s="20">
        <f>S107/2</f>
        <v>4</v>
      </c>
      <c r="U107" s="25">
        <v>46024</v>
      </c>
      <c r="V107">
        <v>1</v>
      </c>
      <c r="W107" s="25" t="s">
        <v>758</v>
      </c>
      <c r="X107">
        <v>101</v>
      </c>
      <c r="Y107" t="s">
        <v>911</v>
      </c>
      <c r="Z107" t="s">
        <v>907</v>
      </c>
      <c r="AA107" s="25"/>
    </row>
    <row r="108" spans="1:28" x14ac:dyDescent="0.25">
      <c r="A108" s="4">
        <v>107</v>
      </c>
      <c r="B108" s="4" t="s">
        <v>1144</v>
      </c>
      <c r="C108" s="28">
        <v>7.9009999999999998</v>
      </c>
      <c r="D108" s="4">
        <v>1984</v>
      </c>
      <c r="E108" s="10" t="s">
        <v>118</v>
      </c>
      <c r="F108" s="10" t="s">
        <v>321</v>
      </c>
      <c r="G108" s="10" t="s">
        <v>1145</v>
      </c>
      <c r="H108" s="10" t="s">
        <v>740</v>
      </c>
      <c r="I108" s="10" t="s">
        <v>192</v>
      </c>
      <c r="J108" s="10" t="s">
        <v>219</v>
      </c>
      <c r="K108" s="10" t="s">
        <v>851</v>
      </c>
      <c r="L108" s="10" t="s">
        <v>223</v>
      </c>
      <c r="M108" s="4">
        <v>7.8</v>
      </c>
      <c r="N108" s="4">
        <v>95</v>
      </c>
      <c r="O108" s="4">
        <v>3.7</v>
      </c>
      <c r="P108" s="20">
        <f>(M108+(N108/10)+(O108*2))/3</f>
        <v>8.2333333333333343</v>
      </c>
      <c r="Q108" s="20">
        <f>(M108+C108+(N108/10)+(O108*2))/4</f>
        <v>8.1502499999999998</v>
      </c>
      <c r="R108" s="20">
        <f>(M108+C108+(N108/10))/3</f>
        <v>8.4003333333333341</v>
      </c>
      <c r="S108" s="27">
        <f>IF(C108 &gt; 9.25, 10, IF(C108 &gt; 6.75, ROUND(C108, 0), MAX(1, FLOOR(C108, 1))))</f>
        <v>8</v>
      </c>
      <c r="T108" s="20">
        <f>S108/2</f>
        <v>4</v>
      </c>
      <c r="U108" s="25">
        <v>46184</v>
      </c>
      <c r="V108">
        <v>1</v>
      </c>
      <c r="W108" s="25" t="s">
        <v>758</v>
      </c>
      <c r="X108">
        <v>105</v>
      </c>
      <c r="Y108" t="s">
        <v>911</v>
      </c>
      <c r="Z108" t="s">
        <v>907</v>
      </c>
      <c r="AA108" t="s">
        <v>1144</v>
      </c>
      <c r="AB108">
        <v>1</v>
      </c>
    </row>
    <row r="109" spans="1:28" x14ac:dyDescent="0.25">
      <c r="A109" s="4">
        <v>108</v>
      </c>
      <c r="B109" s="4" t="s">
        <v>929</v>
      </c>
      <c r="C109" s="28">
        <v>7.8070000000000004</v>
      </c>
      <c r="D109" s="4">
        <v>2021</v>
      </c>
      <c r="E109" s="10" t="s">
        <v>77</v>
      </c>
      <c r="F109" s="10" t="s">
        <v>930</v>
      </c>
      <c r="G109" s="10" t="s">
        <v>931</v>
      </c>
      <c r="H109" s="10" t="s">
        <v>578</v>
      </c>
      <c r="I109" s="10" t="s">
        <v>932</v>
      </c>
      <c r="J109" s="10" t="s">
        <v>208</v>
      </c>
      <c r="K109" s="10" t="s">
        <v>222</v>
      </c>
      <c r="L109" s="10" t="s">
        <v>217</v>
      </c>
      <c r="M109" s="4">
        <v>7.3</v>
      </c>
      <c r="N109" s="4">
        <v>83</v>
      </c>
      <c r="O109" s="4">
        <v>3.5</v>
      </c>
      <c r="P109" s="20">
        <f>(M109+(N109/10)+(O109*2))/3</f>
        <v>7.5333333333333341</v>
      </c>
      <c r="Q109" s="20">
        <f>(M109+C109+(N109/10)+(O109*2))/4</f>
        <v>7.60175</v>
      </c>
      <c r="R109" s="20">
        <f>(M109+C109+(N109/10))/3</f>
        <v>7.8023333333333333</v>
      </c>
      <c r="S109" s="27">
        <f>IF(C109 &gt; 9.25, 10, IF(C109 &gt; 6.75, ROUND(C109, 0), MAX(1, FLOOR(C109, 1))))</f>
        <v>8</v>
      </c>
      <c r="T109" s="20">
        <f>S109/2</f>
        <v>4</v>
      </c>
      <c r="U109" s="25">
        <v>46045</v>
      </c>
      <c r="V109">
        <v>1</v>
      </c>
      <c r="W109" s="25" t="s">
        <v>758</v>
      </c>
      <c r="X109">
        <v>163</v>
      </c>
      <c r="Y109" t="s">
        <v>911</v>
      </c>
      <c r="Z109" t="s">
        <v>917</v>
      </c>
      <c r="AA109" s="25" t="s">
        <v>990</v>
      </c>
      <c r="AB109">
        <v>27</v>
      </c>
    </row>
    <row r="110" spans="1:28" x14ac:dyDescent="0.25">
      <c r="A110" s="4">
        <v>109</v>
      </c>
      <c r="B110" s="4" t="s">
        <v>157</v>
      </c>
      <c r="C110" s="28">
        <v>7.806</v>
      </c>
      <c r="D110" s="4">
        <v>1992</v>
      </c>
      <c r="E110" s="10" t="s">
        <v>597</v>
      </c>
      <c r="F110" s="10" t="s">
        <v>165</v>
      </c>
      <c r="G110" s="10" t="s">
        <v>164</v>
      </c>
      <c r="H110" s="10" t="s">
        <v>163</v>
      </c>
      <c r="I110" s="10" t="s">
        <v>162</v>
      </c>
      <c r="J110" s="5" t="s">
        <v>210</v>
      </c>
      <c r="K110" s="5" t="s">
        <v>209</v>
      </c>
      <c r="L110" s="5" t="s">
        <v>225</v>
      </c>
      <c r="M110" s="4">
        <v>6.5</v>
      </c>
      <c r="N110" s="4">
        <v>23</v>
      </c>
      <c r="O110" s="4">
        <v>3.4</v>
      </c>
      <c r="P110" s="20">
        <f>(M110+(N110/10)+(O110*2))/3</f>
        <v>5.2</v>
      </c>
      <c r="Q110" s="20">
        <f>(M110+C110+(N110/10)+(O110*2))/4</f>
        <v>5.8515000000000006</v>
      </c>
      <c r="R110" s="20">
        <f>(M110+C110+(N110/10))/3</f>
        <v>5.5353333333333339</v>
      </c>
      <c r="S110" s="27">
        <f>IF(C110 &gt; 9.25, 10, IF(C110 &gt; 6.75, ROUND(C110, 0), MAX(1, FLOOR(C110, 1))))</f>
        <v>8</v>
      </c>
      <c r="T110" s="20">
        <f>S110/2</f>
        <v>4</v>
      </c>
      <c r="U110" s="25">
        <v>45718</v>
      </c>
      <c r="V110">
        <v>3</v>
      </c>
      <c r="W110" s="25" t="s">
        <v>758</v>
      </c>
      <c r="X110">
        <v>104</v>
      </c>
      <c r="Y110" t="s">
        <v>911</v>
      </c>
      <c r="Z110" t="s">
        <v>915</v>
      </c>
      <c r="AA110" s="25" t="s">
        <v>992</v>
      </c>
      <c r="AB110">
        <v>1</v>
      </c>
    </row>
    <row r="111" spans="1:28" x14ac:dyDescent="0.25">
      <c r="A111" s="4">
        <v>110</v>
      </c>
      <c r="B111" s="4" t="s">
        <v>941</v>
      </c>
      <c r="C111" s="28">
        <v>7.8049999999999997</v>
      </c>
      <c r="D111" s="4">
        <v>2004</v>
      </c>
      <c r="E111" s="10" t="s">
        <v>109</v>
      </c>
      <c r="F111" s="10" t="s">
        <v>939</v>
      </c>
      <c r="G111" s="10" t="s">
        <v>942</v>
      </c>
      <c r="H111" s="10" t="s">
        <v>940</v>
      </c>
      <c r="I111" s="10" t="s">
        <v>764</v>
      </c>
      <c r="J111" s="10" t="s">
        <v>208</v>
      </c>
      <c r="K111" s="10" t="s">
        <v>223</v>
      </c>
      <c r="L111" t="s">
        <v>951</v>
      </c>
      <c r="M111" s="4">
        <v>7.5</v>
      </c>
      <c r="N111" s="4">
        <v>93</v>
      </c>
      <c r="O111" s="4">
        <v>3.9</v>
      </c>
      <c r="P111" s="20">
        <f>(M111+(N111/10)+(O111*2))/3</f>
        <v>8.2000000000000011</v>
      </c>
      <c r="Q111" s="20">
        <f>(M111+C111+(N111/10)+(O111*2))/4</f>
        <v>8.1012500000000003</v>
      </c>
      <c r="R111" s="20">
        <f>(M111+C111+(N111/10))/3</f>
        <v>8.2016666666666662</v>
      </c>
      <c r="S111" s="27">
        <f>IF(C111 &gt; 9.25, 10, IF(C111 &gt; 6.75, ROUND(C111, 0), MAX(1, FLOOR(C111, 1))))</f>
        <v>8</v>
      </c>
      <c r="T111" s="20">
        <f>S111/2</f>
        <v>4</v>
      </c>
      <c r="U111" s="25">
        <v>46049</v>
      </c>
      <c r="V111">
        <v>1</v>
      </c>
      <c r="W111" s="25" t="s">
        <v>758</v>
      </c>
      <c r="X111">
        <v>135</v>
      </c>
      <c r="Y111" t="s">
        <v>911</v>
      </c>
      <c r="Z111" t="s">
        <v>907</v>
      </c>
      <c r="AA111" s="25" t="s">
        <v>938</v>
      </c>
      <c r="AB111">
        <v>2</v>
      </c>
    </row>
    <row r="112" spans="1:28" x14ac:dyDescent="0.25">
      <c r="A112" s="4">
        <v>111</v>
      </c>
      <c r="B112" s="4" t="s">
        <v>395</v>
      </c>
      <c r="C112" s="28">
        <v>7.8040000000000003</v>
      </c>
      <c r="D112" s="4">
        <v>2012</v>
      </c>
      <c r="E112" s="10" t="s">
        <v>350</v>
      </c>
      <c r="F112" s="10" t="s">
        <v>1178</v>
      </c>
      <c r="G112" s="10" t="s">
        <v>12</v>
      </c>
      <c r="H112" s="10" t="s">
        <v>59</v>
      </c>
      <c r="I112" s="10" t="s">
        <v>61</v>
      </c>
      <c r="J112" s="9" t="s">
        <v>209</v>
      </c>
      <c r="K112" s="9" t="s">
        <v>396</v>
      </c>
      <c r="L112" s="9" t="s">
        <v>219</v>
      </c>
      <c r="M112" s="4">
        <v>8.5</v>
      </c>
      <c r="N112" s="4">
        <v>87</v>
      </c>
      <c r="O112" s="4">
        <v>4.3</v>
      </c>
      <c r="P112" s="20">
        <f>(M112+(N112/10)+(O112*2))/3</f>
        <v>8.6</v>
      </c>
      <c r="Q112" s="20">
        <f>(M112+C112+(N112/10)+(O112*2))/4</f>
        <v>8.4009999999999998</v>
      </c>
      <c r="R112" s="20">
        <f>(M112+C112+(N112/10))/3</f>
        <v>8.3346666666666671</v>
      </c>
      <c r="S112" s="27">
        <f>IF(C112 &gt; 9.25, 10, IF(C112 &gt; 6.75, ROUND(C112, 0), MAX(1, FLOOR(C112, 1))))</f>
        <v>8</v>
      </c>
      <c r="T112" s="20">
        <f>S112/2</f>
        <v>4</v>
      </c>
      <c r="U112" s="25">
        <v>44757</v>
      </c>
      <c r="V112">
        <v>1</v>
      </c>
      <c r="W112" s="25" t="s">
        <v>758</v>
      </c>
      <c r="X112">
        <v>165</v>
      </c>
      <c r="Y112" t="s">
        <v>911</v>
      </c>
      <c r="Z112" t="s">
        <v>825</v>
      </c>
      <c r="AA112" s="25"/>
    </row>
    <row r="113" spans="1:28" x14ac:dyDescent="0.25">
      <c r="A113" s="4">
        <v>112</v>
      </c>
      <c r="B113" s="4" t="s">
        <v>655</v>
      </c>
      <c r="C113" s="28">
        <v>7.8029999999999999</v>
      </c>
      <c r="D113" s="4">
        <v>1988</v>
      </c>
      <c r="E113" s="5" t="s">
        <v>60</v>
      </c>
      <c r="F113" s="10" t="s">
        <v>658</v>
      </c>
      <c r="G113" s="10" t="s">
        <v>659</v>
      </c>
      <c r="H113" s="10" t="s">
        <v>660</v>
      </c>
      <c r="I113" s="10" t="s">
        <v>661</v>
      </c>
      <c r="J113" s="10" t="s">
        <v>208</v>
      </c>
      <c r="K113" s="10" t="s">
        <v>217</v>
      </c>
      <c r="L113" s="10"/>
      <c r="M113" s="4">
        <v>8.1999999999999993</v>
      </c>
      <c r="N113" s="4">
        <v>94</v>
      </c>
      <c r="O113" s="4">
        <v>4.0999999999999996</v>
      </c>
      <c r="P113" s="20">
        <f>(M113+(N113/10)+(O113*2))/3</f>
        <v>8.6</v>
      </c>
      <c r="Q113" s="20">
        <f>(M113+C113+(N113/10)+(O113*2))/4</f>
        <v>8.4007499999999986</v>
      </c>
      <c r="R113" s="20">
        <f>(M113+C113+(N113/10))/3</f>
        <v>8.4676666666666662</v>
      </c>
      <c r="S113" s="27">
        <f>IF(C113 &gt; 9.25, 10, IF(C113 &gt; 6.75, ROUND(C113, 0), MAX(1, FLOOR(C113, 1))))</f>
        <v>8</v>
      </c>
      <c r="T113" s="20">
        <f>S113/2</f>
        <v>4</v>
      </c>
      <c r="U113" s="25">
        <v>45647</v>
      </c>
      <c r="V113">
        <v>1</v>
      </c>
      <c r="W113" s="25" t="s">
        <v>758</v>
      </c>
      <c r="X113">
        <v>132</v>
      </c>
      <c r="Y113" t="s">
        <v>911</v>
      </c>
      <c r="Z113" t="s">
        <v>920</v>
      </c>
      <c r="AA113" s="25"/>
    </row>
    <row r="114" spans="1:28" x14ac:dyDescent="0.25">
      <c r="A114" s="4">
        <v>113</v>
      </c>
      <c r="B114" s="4" t="s">
        <v>1336</v>
      </c>
      <c r="C114" s="28">
        <v>7.8019999999999996</v>
      </c>
      <c r="D114" s="4">
        <v>2026</v>
      </c>
      <c r="E114" s="10" t="s">
        <v>957</v>
      </c>
      <c r="F114" s="10" t="s">
        <v>966</v>
      </c>
      <c r="G114" s="10" t="s">
        <v>668</v>
      </c>
      <c r="H114" s="10" t="s">
        <v>309</v>
      </c>
      <c r="I114" s="10" t="s">
        <v>1166</v>
      </c>
      <c r="J114" s="10" t="s">
        <v>208</v>
      </c>
      <c r="K114" s="10" t="s">
        <v>223</v>
      </c>
      <c r="L114" s="10" t="s">
        <v>951</v>
      </c>
      <c r="M114" s="4">
        <v>8.1</v>
      </c>
      <c r="N114" s="4">
        <v>89</v>
      </c>
      <c r="O114" s="4">
        <v>4.0999999999999996</v>
      </c>
      <c r="P114" s="20">
        <f>(M114+(N114/10)+(O114*2))/3</f>
        <v>8.4</v>
      </c>
      <c r="Q114" s="20">
        <f>(M114+C114+(N114/10)+(O114*2))/4</f>
        <v>8.2504999999999988</v>
      </c>
      <c r="R114" s="20">
        <f>(M114+C114+(N114/10))/3</f>
        <v>8.2673333333333332</v>
      </c>
      <c r="S114" s="27">
        <f>IF(C114 &gt; 9.25, 10, IF(C114 &gt; 6.75, ROUND(C114, 0), MAX(1, FLOOR(C114, 1))))</f>
        <v>8</v>
      </c>
      <c r="T114" s="20">
        <f>S114/2</f>
        <v>4</v>
      </c>
      <c r="U114" s="25">
        <v>46248</v>
      </c>
      <c r="V114">
        <v>1</v>
      </c>
      <c r="W114" s="25" t="s">
        <v>758</v>
      </c>
      <c r="X114">
        <v>145</v>
      </c>
      <c r="Y114" t="s">
        <v>1337</v>
      </c>
      <c r="Z114" t="s">
        <v>902</v>
      </c>
      <c r="AA114" t="s">
        <v>938</v>
      </c>
      <c r="AB114">
        <v>9</v>
      </c>
    </row>
    <row r="115" spans="1:28" x14ac:dyDescent="0.25">
      <c r="A115" s="4">
        <v>114</v>
      </c>
      <c r="B115" s="4" t="s">
        <v>1239</v>
      </c>
      <c r="C115" s="28">
        <v>7.8010000000000002</v>
      </c>
      <c r="D115" s="4">
        <v>1989</v>
      </c>
      <c r="E115" s="10" t="s">
        <v>118</v>
      </c>
      <c r="F115" s="10" t="s">
        <v>321</v>
      </c>
      <c r="G115" s="10" t="s">
        <v>1145</v>
      </c>
      <c r="H115" s="10" t="s">
        <v>740</v>
      </c>
      <c r="I115" s="10" t="s">
        <v>192</v>
      </c>
      <c r="J115" s="10" t="s">
        <v>219</v>
      </c>
      <c r="K115" s="10" t="s">
        <v>851</v>
      </c>
      <c r="L115" s="10" t="s">
        <v>223</v>
      </c>
      <c r="M115" s="4">
        <v>6.6</v>
      </c>
      <c r="N115" s="4">
        <v>57</v>
      </c>
      <c r="O115" s="4">
        <v>3.2</v>
      </c>
      <c r="P115" s="20">
        <f>(M115+(N115/10)+(O115*2))/3</f>
        <v>6.2333333333333343</v>
      </c>
      <c r="Q115" s="20">
        <f>(M115+C115+(N115/10)+(O115*2))/4</f>
        <v>6.6252499999999994</v>
      </c>
      <c r="R115" s="20">
        <f>(M115+C115+(N115/10))/3</f>
        <v>6.700333333333333</v>
      </c>
      <c r="S115" s="27">
        <f>IF(C115 &gt; 9.25, 10, IF(C115 &gt; 6.75, ROUND(C115, 0), MAX(1, FLOOR(C115, 1))))</f>
        <v>8</v>
      </c>
      <c r="T115" s="20">
        <f>S115/2</f>
        <v>4</v>
      </c>
      <c r="U115" s="25">
        <v>46213</v>
      </c>
      <c r="V115">
        <v>1</v>
      </c>
      <c r="W115" t="s">
        <v>758</v>
      </c>
      <c r="X115">
        <v>108</v>
      </c>
      <c r="Y115" t="s">
        <v>911</v>
      </c>
      <c r="Z115" t="s">
        <v>907</v>
      </c>
      <c r="AA115" t="s">
        <v>1144</v>
      </c>
      <c r="AB115">
        <v>2</v>
      </c>
    </row>
    <row r="116" spans="1:28" x14ac:dyDescent="0.25">
      <c r="A116" s="4">
        <v>115</v>
      </c>
      <c r="B116" s="4" t="s">
        <v>956</v>
      </c>
      <c r="C116" s="28">
        <v>7.7069999999999999</v>
      </c>
      <c r="D116" s="4">
        <v>2017</v>
      </c>
      <c r="E116" s="10" t="s">
        <v>957</v>
      </c>
      <c r="F116" s="10" t="s">
        <v>958</v>
      </c>
      <c r="G116" s="10" t="s">
        <v>530</v>
      </c>
      <c r="H116" s="10" t="s">
        <v>960</v>
      </c>
      <c r="I116" s="10" t="s">
        <v>959</v>
      </c>
      <c r="J116" s="10" t="s">
        <v>208</v>
      </c>
      <c r="K116" s="10" t="s">
        <v>223</v>
      </c>
      <c r="L116" s="10" t="s">
        <v>951</v>
      </c>
      <c r="M116" s="4">
        <v>7.4</v>
      </c>
      <c r="N116" s="4">
        <v>92</v>
      </c>
      <c r="O116" s="4">
        <v>3.5</v>
      </c>
      <c r="P116" s="20">
        <f>(M116+(N116/10)+(O116*2))/3</f>
        <v>7.8666666666666671</v>
      </c>
      <c r="Q116" s="20">
        <f>(M116+C116+(N116/10)+(O116*2))/4</f>
        <v>7.8267499999999997</v>
      </c>
      <c r="R116" s="20">
        <f>(M116+C116+(N116/10))/3</f>
        <v>8.1023333333333323</v>
      </c>
      <c r="S116" s="27">
        <f>IF(C116 &gt; 9.25, 10, IF(C116 &gt; 6.75, ROUND(C116, 0), MAX(1, FLOOR(C116, 1))))</f>
        <v>8</v>
      </c>
      <c r="T116" s="20">
        <f>S116/2</f>
        <v>4</v>
      </c>
      <c r="U116" s="25">
        <v>46179</v>
      </c>
      <c r="V116">
        <v>2</v>
      </c>
      <c r="W116" s="25" t="s">
        <v>758</v>
      </c>
      <c r="X116">
        <v>133</v>
      </c>
      <c r="Y116" t="s">
        <v>911</v>
      </c>
      <c r="Z116" t="s">
        <v>915</v>
      </c>
      <c r="AA116" s="25" t="s">
        <v>938</v>
      </c>
      <c r="AB116">
        <v>6</v>
      </c>
    </row>
    <row r="117" spans="1:28" x14ac:dyDescent="0.25">
      <c r="A117" s="4">
        <v>116</v>
      </c>
      <c r="B117" s="4" t="s">
        <v>176</v>
      </c>
      <c r="C117" s="28">
        <v>7.7060000000000004</v>
      </c>
      <c r="D117" s="4">
        <v>2023</v>
      </c>
      <c r="E117" s="10" t="s">
        <v>19</v>
      </c>
      <c r="F117" s="10" t="s">
        <v>20</v>
      </c>
      <c r="G117" s="10" t="s">
        <v>177</v>
      </c>
      <c r="H117" s="10" t="s">
        <v>123</v>
      </c>
      <c r="I117" s="10" t="s">
        <v>20</v>
      </c>
      <c r="J117" s="5" t="s">
        <v>210</v>
      </c>
      <c r="K117" s="10" t="s">
        <v>209</v>
      </c>
      <c r="M117" s="4">
        <v>7.4</v>
      </c>
      <c r="N117" s="4">
        <v>92</v>
      </c>
      <c r="O117" s="4">
        <v>3.6</v>
      </c>
      <c r="P117" s="20">
        <f>(M117+(N117/10)+(O117*2))/3</f>
        <v>7.9333333333333336</v>
      </c>
      <c r="Q117" s="20">
        <f>(M117+C117+(N117/10)+(O117*2))/4</f>
        <v>7.8765000000000001</v>
      </c>
      <c r="R117" s="20">
        <f>(M117+C117+(N117/10))/3</f>
        <v>8.1020000000000003</v>
      </c>
      <c r="S117" s="27">
        <f>IF(C117 &gt; 9.25, 10, IF(C117 &gt; 6.75, ROUND(C117, 0), MAX(1, FLOOR(C117, 1))))</f>
        <v>8</v>
      </c>
      <c r="T117" s="20">
        <f>S117/2</f>
        <v>4</v>
      </c>
      <c r="U117" s="25">
        <v>45065</v>
      </c>
      <c r="V117">
        <v>1</v>
      </c>
      <c r="W117" s="25" t="s">
        <v>758</v>
      </c>
      <c r="X117">
        <v>111</v>
      </c>
      <c r="Y117" t="s">
        <v>911</v>
      </c>
      <c r="Z117" t="s">
        <v>825</v>
      </c>
      <c r="AA117" s="25"/>
    </row>
    <row r="118" spans="1:28" x14ac:dyDescent="0.25">
      <c r="A118" s="4">
        <v>117</v>
      </c>
      <c r="B118" s="4" t="s">
        <v>373</v>
      </c>
      <c r="C118" s="28">
        <v>7.7050000000000001</v>
      </c>
      <c r="D118" s="4">
        <v>2015</v>
      </c>
      <c r="E118" s="10" t="s">
        <v>10</v>
      </c>
      <c r="F118" s="10" t="s">
        <v>374</v>
      </c>
      <c r="G118" s="10" t="s">
        <v>375</v>
      </c>
      <c r="H118" s="10" t="s">
        <v>376</v>
      </c>
      <c r="I118" s="10" t="s">
        <v>377</v>
      </c>
      <c r="J118" s="10" t="s">
        <v>219</v>
      </c>
      <c r="K118" s="10"/>
      <c r="L118" s="10"/>
      <c r="M118" s="4">
        <v>6</v>
      </c>
      <c r="N118" s="4">
        <v>28</v>
      </c>
      <c r="O118" s="4">
        <v>2.5</v>
      </c>
      <c r="P118" s="20">
        <f>(M118+(N118/10)+(O118*2))/3</f>
        <v>4.6000000000000005</v>
      </c>
      <c r="Q118" s="20">
        <f>(M118+C118+(N118/10)+(O118*2))/4</f>
        <v>5.3762499999999998</v>
      </c>
      <c r="R118" s="20">
        <f>(M118+C118+(N118/10))/3</f>
        <v>5.501666666666666</v>
      </c>
      <c r="S118" s="27">
        <f>IF(C118 &gt; 9.25, 10, IF(C118 &gt; 6.75, ROUND(C118, 0), MAX(1, FLOOR(C118, 1))))</f>
        <v>8</v>
      </c>
      <c r="T118" s="20">
        <f>S118/2</f>
        <v>4</v>
      </c>
      <c r="U118" s="25">
        <v>45828</v>
      </c>
      <c r="V118">
        <v>2</v>
      </c>
      <c r="W118" s="25" t="s">
        <v>758</v>
      </c>
      <c r="X118">
        <v>100</v>
      </c>
      <c r="Y118" t="s">
        <v>911</v>
      </c>
      <c r="Z118" t="s">
        <v>825</v>
      </c>
      <c r="AA118" s="25"/>
    </row>
    <row r="119" spans="1:28" x14ac:dyDescent="0.25">
      <c r="A119" s="4">
        <v>118</v>
      </c>
      <c r="B119" s="4" t="s">
        <v>435</v>
      </c>
      <c r="C119" s="28">
        <v>7.7039999999999997</v>
      </c>
      <c r="D119" s="4">
        <v>1957</v>
      </c>
      <c r="E119" s="10" t="s">
        <v>438</v>
      </c>
      <c r="F119" s="10" t="s">
        <v>439</v>
      </c>
      <c r="G119" s="10" t="s">
        <v>440</v>
      </c>
      <c r="H119" s="10" t="s">
        <v>442</v>
      </c>
      <c r="I119" s="10" t="s">
        <v>441</v>
      </c>
      <c r="J119" s="10" t="s">
        <v>215</v>
      </c>
      <c r="K119" s="10" t="s">
        <v>209</v>
      </c>
      <c r="L119" s="10" t="s">
        <v>673</v>
      </c>
      <c r="M119" s="4">
        <v>9</v>
      </c>
      <c r="N119" s="4">
        <v>92</v>
      </c>
      <c r="O119" s="4">
        <v>4.5999999999999996</v>
      </c>
      <c r="P119" s="20">
        <f>(M119+(N119/10)+(O119*2))/3</f>
        <v>9.1333333333333329</v>
      </c>
      <c r="Q119" s="20">
        <f>(M119+C119+(N119/10)+(O119*2))/4</f>
        <v>8.7759999999999998</v>
      </c>
      <c r="R119" s="20">
        <f>(M119+C119+(N119/10))/3</f>
        <v>8.634666666666666</v>
      </c>
      <c r="S119" s="27">
        <f>IF(C119 &gt; 9.25, 10, IF(C119 &gt; 6.75, ROUND(C119, 0), MAX(1, FLOOR(C119, 1))))</f>
        <v>8</v>
      </c>
      <c r="T119" s="20">
        <f>S119/2</f>
        <v>4</v>
      </c>
      <c r="U119" s="25">
        <v>45111</v>
      </c>
      <c r="V119">
        <v>1</v>
      </c>
      <c r="W119" s="25" t="s">
        <v>758</v>
      </c>
      <c r="X119">
        <v>96</v>
      </c>
      <c r="Y119" t="s">
        <v>911</v>
      </c>
      <c r="Z119" t="s">
        <v>914</v>
      </c>
      <c r="AA119" s="25"/>
    </row>
    <row r="120" spans="1:28" x14ac:dyDescent="0.25">
      <c r="A120" s="4">
        <v>119</v>
      </c>
      <c r="B120" s="4" t="s">
        <v>150</v>
      </c>
      <c r="C120" s="28">
        <v>7.7030000000000003</v>
      </c>
      <c r="D120" s="4">
        <v>2009</v>
      </c>
      <c r="E120" s="10" t="s">
        <v>151</v>
      </c>
      <c r="F120" s="10" t="s">
        <v>152</v>
      </c>
      <c r="G120" s="10" t="s">
        <v>154</v>
      </c>
      <c r="H120" s="10" t="s">
        <v>153</v>
      </c>
      <c r="I120" s="10" t="s">
        <v>155</v>
      </c>
      <c r="J120" s="10" t="s">
        <v>219</v>
      </c>
      <c r="M120" s="4">
        <v>7.7</v>
      </c>
      <c r="N120" s="4">
        <v>78</v>
      </c>
      <c r="O120" s="4">
        <v>3.7</v>
      </c>
      <c r="P120" s="20">
        <f>(M120+(N120/10)+(O120*2))/3</f>
        <v>7.6333333333333329</v>
      </c>
      <c r="Q120" s="20">
        <f>(M120+C120+(N120/10)+(O120*2))/4</f>
        <v>7.6507500000000004</v>
      </c>
      <c r="R120" s="20">
        <f>(M120+C120+(N120/10))/3</f>
        <v>7.7343333333333328</v>
      </c>
      <c r="S120" s="27">
        <f>IF(C120 &gt; 9.25, 10, IF(C120 &gt; 6.75, ROUND(C120, 0), MAX(1, FLOOR(C120, 1))))</f>
        <v>8</v>
      </c>
      <c r="T120" s="20">
        <f>S120/2</f>
        <v>4</v>
      </c>
      <c r="U120" s="25">
        <v>45071</v>
      </c>
      <c r="V120">
        <v>1</v>
      </c>
      <c r="W120" s="25" t="s">
        <v>758</v>
      </c>
      <c r="X120">
        <v>100</v>
      </c>
      <c r="Y120" t="s">
        <v>911</v>
      </c>
      <c r="Z120" t="s">
        <v>825</v>
      </c>
      <c r="AA120" s="25" t="s">
        <v>150</v>
      </c>
      <c r="AB120">
        <v>1</v>
      </c>
    </row>
    <row r="121" spans="1:28" x14ac:dyDescent="0.25">
      <c r="A121" s="4">
        <v>120</v>
      </c>
      <c r="B121" s="4" t="s">
        <v>1248</v>
      </c>
      <c r="C121" s="28">
        <v>7.702</v>
      </c>
      <c r="D121" s="4">
        <v>2024</v>
      </c>
      <c r="E121" s="10" t="s">
        <v>976</v>
      </c>
      <c r="F121" s="10" t="s">
        <v>1241</v>
      </c>
      <c r="G121" s="10" t="s">
        <v>1249</v>
      </c>
      <c r="H121" s="10" t="s">
        <v>1250</v>
      </c>
      <c r="I121" s="10" t="s">
        <v>700</v>
      </c>
      <c r="J121" s="10" t="s">
        <v>208</v>
      </c>
      <c r="K121" s="10" t="s">
        <v>223</v>
      </c>
      <c r="L121" t="s">
        <v>951</v>
      </c>
      <c r="M121" s="4">
        <v>7.5</v>
      </c>
      <c r="N121" s="4">
        <v>77</v>
      </c>
      <c r="O121" s="4">
        <v>3.4</v>
      </c>
      <c r="P121" s="20">
        <f>(M121+(N121/10)+(O121*2))/3</f>
        <v>7.333333333333333</v>
      </c>
      <c r="Q121" s="20">
        <f>(M121+C121+(N121/10)+(O121*2))/4</f>
        <v>7.4255000000000004</v>
      </c>
      <c r="R121" s="20">
        <f>(M121+C121+(N121/10))/3</f>
        <v>7.6340000000000003</v>
      </c>
      <c r="S121" s="27">
        <f>IF(C121 &gt; 9.25, 10, IF(C121 &gt; 6.75, ROUND(C121, 0), MAX(1, FLOOR(C121, 1))))</f>
        <v>8</v>
      </c>
      <c r="T121" s="20">
        <f>S121/2</f>
        <v>4</v>
      </c>
      <c r="U121" s="25">
        <v>46214</v>
      </c>
      <c r="V121">
        <v>1</v>
      </c>
      <c r="W121" s="25" t="s">
        <v>758</v>
      </c>
      <c r="X121">
        <v>128</v>
      </c>
      <c r="Y121" t="s">
        <v>911</v>
      </c>
      <c r="Z121" t="s">
        <v>907</v>
      </c>
      <c r="AA121" t="s">
        <v>1126</v>
      </c>
      <c r="AB121">
        <v>45</v>
      </c>
    </row>
    <row r="122" spans="1:28" x14ac:dyDescent="0.25">
      <c r="A122" s="4">
        <v>121</v>
      </c>
      <c r="B122" s="4" t="s">
        <v>1069</v>
      </c>
      <c r="C122" s="28">
        <v>7.7009999999999996</v>
      </c>
      <c r="D122" s="4">
        <v>2014</v>
      </c>
      <c r="E122" s="10" t="s">
        <v>985</v>
      </c>
      <c r="F122" s="10" t="s">
        <v>1002</v>
      </c>
      <c r="G122" s="10" t="s">
        <v>59</v>
      </c>
      <c r="H122" s="10" t="s">
        <v>1070</v>
      </c>
      <c r="I122" s="10" t="s">
        <v>1056</v>
      </c>
      <c r="J122" s="10" t="s">
        <v>208</v>
      </c>
      <c r="K122" s="10" t="s">
        <v>223</v>
      </c>
      <c r="L122" s="10" t="s">
        <v>951</v>
      </c>
      <c r="M122" s="4">
        <v>7.7</v>
      </c>
      <c r="N122" s="4">
        <v>90</v>
      </c>
      <c r="O122" s="4">
        <v>3.8</v>
      </c>
      <c r="P122" s="20">
        <f>(M122+(N122/10)+(O122*2))/3</f>
        <v>8.1</v>
      </c>
      <c r="Q122" s="20">
        <f>(M122+C122+(N122/10)+(O122*2))/4</f>
        <v>8.0002499999999994</v>
      </c>
      <c r="R122" s="20">
        <f>(M122+C122+(N122/10))/3</f>
        <v>8.1336666666666666</v>
      </c>
      <c r="S122" s="27">
        <f>IF(C122 &gt; 9.25, 10, IF(C122 &gt; 6.75, ROUND(C122, 0), MAX(1, FLOOR(C122, 1))))</f>
        <v>8</v>
      </c>
      <c r="T122" s="20">
        <f>S122/2</f>
        <v>4</v>
      </c>
      <c r="U122" s="25">
        <v>46134</v>
      </c>
      <c r="V122">
        <v>1</v>
      </c>
      <c r="W122" s="25" t="s">
        <v>758</v>
      </c>
      <c r="X122">
        <v>136</v>
      </c>
      <c r="Y122" t="s">
        <v>911</v>
      </c>
      <c r="Z122" t="s">
        <v>915</v>
      </c>
      <c r="AA122" t="s">
        <v>993</v>
      </c>
      <c r="AB122">
        <v>2</v>
      </c>
    </row>
    <row r="123" spans="1:28" x14ac:dyDescent="0.25">
      <c r="A123" s="4">
        <v>122</v>
      </c>
      <c r="B123" s="4" t="s">
        <v>1060</v>
      </c>
      <c r="C123" s="28">
        <v>7.6070000000000002</v>
      </c>
      <c r="D123" s="4">
        <v>1984</v>
      </c>
      <c r="E123" s="10" t="s">
        <v>1061</v>
      </c>
      <c r="F123" s="10" t="s">
        <v>1062</v>
      </c>
      <c r="G123" s="10" t="s">
        <v>1063</v>
      </c>
      <c r="H123" s="10" t="s">
        <v>1065</v>
      </c>
      <c r="I123" s="10" t="s">
        <v>1064</v>
      </c>
      <c r="J123" s="10" t="s">
        <v>208</v>
      </c>
      <c r="K123" s="10" t="s">
        <v>222</v>
      </c>
      <c r="L123" s="10" t="s">
        <v>223</v>
      </c>
      <c r="M123" s="4">
        <v>8.1</v>
      </c>
      <c r="N123" s="4">
        <v>90</v>
      </c>
      <c r="O123" s="4">
        <v>3.9</v>
      </c>
      <c r="P123" s="20">
        <f>(M123+(N123/10)+(O123*2))/3</f>
        <v>8.3000000000000007</v>
      </c>
      <c r="Q123" s="20">
        <f>(M123+C123+(N123/10)+(O123*2))/4</f>
        <v>8.1267499999999995</v>
      </c>
      <c r="R123" s="20">
        <f>(M123+C123+(N123/10))/3</f>
        <v>8.2356666666666669</v>
      </c>
      <c r="S123" s="27">
        <f>IF(C123 &gt; 9.25, 10, IF(C123 &gt; 6.75, ROUND(C123, 0), MAX(1, FLOOR(C123, 1))))</f>
        <v>8</v>
      </c>
      <c r="T123" s="20">
        <f>S123/2</f>
        <v>4</v>
      </c>
      <c r="U123" s="25">
        <v>46130</v>
      </c>
      <c r="V123">
        <v>1</v>
      </c>
      <c r="W123" s="25" t="s">
        <v>758</v>
      </c>
      <c r="X123">
        <v>107</v>
      </c>
      <c r="Y123" t="s">
        <v>911</v>
      </c>
      <c r="Z123" t="s">
        <v>907</v>
      </c>
      <c r="AA123" t="s">
        <v>1060</v>
      </c>
      <c r="AB123">
        <v>1</v>
      </c>
    </row>
    <row r="124" spans="1:28" x14ac:dyDescent="0.25">
      <c r="A124" s="4">
        <v>123</v>
      </c>
      <c r="B124" s="4" t="s">
        <v>727</v>
      </c>
      <c r="C124" s="28">
        <v>7.6059999999999999</v>
      </c>
      <c r="D124" s="4">
        <v>2014</v>
      </c>
      <c r="E124" s="10" t="s">
        <v>9</v>
      </c>
      <c r="F124" s="10" t="s">
        <v>508</v>
      </c>
      <c r="G124" s="10" t="s">
        <v>319</v>
      </c>
      <c r="H124" s="10" t="s">
        <v>479</v>
      </c>
      <c r="I124" s="10" t="s">
        <v>343</v>
      </c>
      <c r="J124" s="10" t="s">
        <v>223</v>
      </c>
      <c r="K124" s="10" t="s">
        <v>208</v>
      </c>
      <c r="L124" s="10" t="s">
        <v>222</v>
      </c>
      <c r="M124" s="4">
        <v>7.9</v>
      </c>
      <c r="N124" s="4">
        <v>91</v>
      </c>
      <c r="O124" s="4">
        <v>3.8</v>
      </c>
      <c r="P124" s="20">
        <f>(M124+(N124/10)+(O124*2))/3</f>
        <v>8.2000000000000011</v>
      </c>
      <c r="Q124" s="20">
        <f>(M124+C124+(N124/10)+(O124*2))/4</f>
        <v>8.0515000000000008</v>
      </c>
      <c r="R124" s="20">
        <f>(M124+C124+(N124/10))/3</f>
        <v>8.202</v>
      </c>
      <c r="S124" s="27">
        <f>IF(C124 &gt; 9.25, 10, IF(C124 &gt; 6.75, ROUND(C124, 0), MAX(1, FLOOR(C124, 1))))</f>
        <v>8</v>
      </c>
      <c r="T124" s="20">
        <f>S124/2</f>
        <v>4</v>
      </c>
      <c r="U124" s="25">
        <v>45918</v>
      </c>
      <c r="V124">
        <v>1</v>
      </c>
      <c r="W124" s="25" t="s">
        <v>758</v>
      </c>
      <c r="X124">
        <v>113</v>
      </c>
      <c r="Y124" t="s">
        <v>911</v>
      </c>
      <c r="Z124" t="s">
        <v>917</v>
      </c>
      <c r="AA124" s="25"/>
    </row>
    <row r="125" spans="1:28" x14ac:dyDescent="0.25">
      <c r="A125" s="4">
        <v>124</v>
      </c>
      <c r="B125" s="4" t="s">
        <v>912</v>
      </c>
      <c r="C125" s="28">
        <v>7.6050000000000004</v>
      </c>
      <c r="D125" s="4">
        <v>2026</v>
      </c>
      <c r="E125" s="5" t="s">
        <v>19</v>
      </c>
      <c r="F125" s="10" t="s">
        <v>20</v>
      </c>
      <c r="G125" s="10" t="s">
        <v>913</v>
      </c>
      <c r="H125" s="10" t="s">
        <v>793</v>
      </c>
      <c r="I125" s="10" t="s">
        <v>817</v>
      </c>
      <c r="J125" s="10" t="s">
        <v>215</v>
      </c>
      <c r="K125" s="10" t="s">
        <v>208</v>
      </c>
      <c r="L125" s="10" t="s">
        <v>216</v>
      </c>
      <c r="M125" s="4">
        <v>6.9</v>
      </c>
      <c r="N125" s="4">
        <v>83</v>
      </c>
      <c r="O125" s="4">
        <v>3.2</v>
      </c>
      <c r="P125" s="20">
        <f>(M125+(N125/10)+(O125*2))/3</f>
        <v>7.2</v>
      </c>
      <c r="Q125" s="20">
        <f>(M125+C125+(N125/10)+(O125*2))/4</f>
        <v>7.3012499999999996</v>
      </c>
      <c r="R125" s="20">
        <f>(M125+C125+(N125/10))/3</f>
        <v>7.6016666666666666</v>
      </c>
      <c r="S125" s="27">
        <f>IF(C125 &gt; 9.25, 10, IF(C125 &gt; 6.75, ROUND(C125, 0), MAX(1, FLOOR(C125, 1))))</f>
        <v>8</v>
      </c>
      <c r="T125" s="20">
        <f>S125/2</f>
        <v>4</v>
      </c>
      <c r="U125" s="25">
        <v>46040</v>
      </c>
      <c r="V125">
        <v>1</v>
      </c>
      <c r="W125" s="25" t="s">
        <v>758</v>
      </c>
      <c r="X125">
        <v>112</v>
      </c>
      <c r="Y125" t="s">
        <v>911</v>
      </c>
      <c r="Z125" t="s">
        <v>907</v>
      </c>
      <c r="AA125" s="25"/>
    </row>
    <row r="126" spans="1:28" x14ac:dyDescent="0.25">
      <c r="A126" s="4">
        <v>125</v>
      </c>
      <c r="B126" s="4" t="s">
        <v>388</v>
      </c>
      <c r="C126" s="28">
        <v>7.6040000000000001</v>
      </c>
      <c r="D126" s="4">
        <v>2018</v>
      </c>
      <c r="E126" s="5" t="s">
        <v>9</v>
      </c>
      <c r="F126" s="10" t="s">
        <v>367</v>
      </c>
      <c r="G126" s="10" t="s">
        <v>270</v>
      </c>
      <c r="H126" s="10" t="s">
        <v>390</v>
      </c>
      <c r="I126" s="10" t="s">
        <v>368</v>
      </c>
      <c r="J126" s="10" t="s">
        <v>208</v>
      </c>
      <c r="K126" s="10" t="s">
        <v>217</v>
      </c>
      <c r="L126" s="10" t="s">
        <v>222</v>
      </c>
      <c r="M126" s="4">
        <v>7.7</v>
      </c>
      <c r="N126" s="4">
        <v>97</v>
      </c>
      <c r="O126" s="4">
        <v>4</v>
      </c>
      <c r="P126" s="20">
        <f>(M126+(N126/10)+(O126*2))/3</f>
        <v>8.4666666666666668</v>
      </c>
      <c r="Q126" s="20">
        <f>(M126+C126+(N126/10)+(O126*2))/4</f>
        <v>8.2509999999999994</v>
      </c>
      <c r="R126" s="20">
        <f>(M126+C126+(N126/10))/3</f>
        <v>8.3346666666666653</v>
      </c>
      <c r="S126" s="27">
        <f>IF(C126 &gt; 9.25, 10, IF(C126 &gt; 6.75, ROUND(C126, 0), MAX(1, FLOOR(C126, 1))))</f>
        <v>8</v>
      </c>
      <c r="T126" s="20">
        <f>S126/2</f>
        <v>4</v>
      </c>
      <c r="U126" s="25">
        <v>46052</v>
      </c>
      <c r="V126">
        <v>2</v>
      </c>
      <c r="W126" s="25" t="s">
        <v>758</v>
      </c>
      <c r="X126">
        <v>147</v>
      </c>
      <c r="Y126" t="s">
        <v>911</v>
      </c>
      <c r="Z126" t="s">
        <v>825</v>
      </c>
      <c r="AA126" s="25" t="s">
        <v>81</v>
      </c>
      <c r="AB126">
        <v>6</v>
      </c>
    </row>
    <row r="127" spans="1:28" x14ac:dyDescent="0.25">
      <c r="A127" s="4">
        <v>126</v>
      </c>
      <c r="B127" s="4" t="s">
        <v>1325</v>
      </c>
      <c r="C127" s="28">
        <v>7.6029999999999998</v>
      </c>
      <c r="D127" s="4">
        <v>2011</v>
      </c>
      <c r="E127" s="10" t="s">
        <v>1326</v>
      </c>
      <c r="F127" s="10" t="s">
        <v>1327</v>
      </c>
      <c r="G127" s="10" t="s">
        <v>1328</v>
      </c>
      <c r="H127" s="10" t="s">
        <v>857</v>
      </c>
      <c r="I127" s="10" t="s">
        <v>1329</v>
      </c>
      <c r="J127" s="10" t="s">
        <v>208</v>
      </c>
      <c r="K127" s="10" t="s">
        <v>223</v>
      </c>
      <c r="L127" s="10" t="s">
        <v>951</v>
      </c>
      <c r="M127" s="4">
        <v>7.7</v>
      </c>
      <c r="N127" s="4">
        <v>86</v>
      </c>
      <c r="O127" s="4">
        <v>3.6</v>
      </c>
      <c r="P127" s="20">
        <f>(M127+(N127/10)+(O127*2))/3</f>
        <v>7.833333333333333</v>
      </c>
      <c r="Q127" s="20">
        <f>(M127+C127+(N127/10)+(O127*2))/4</f>
        <v>7.7757499999999995</v>
      </c>
      <c r="R127" s="20">
        <f>(M127+C127+(N127/10))/3</f>
        <v>7.9676666666666662</v>
      </c>
      <c r="S127" s="27">
        <f>IF(C127 &gt; 9.25, 10, IF(C127 &gt; 6.75, ROUND(C127, 0), MAX(1, FLOOR(C127, 1))))</f>
        <v>8</v>
      </c>
      <c r="T127" s="20">
        <f>S127/2</f>
        <v>4</v>
      </c>
      <c r="U127" s="25">
        <v>46243</v>
      </c>
      <c r="V127">
        <v>1</v>
      </c>
      <c r="W127" s="25" t="s">
        <v>758</v>
      </c>
      <c r="X127">
        <v>132</v>
      </c>
      <c r="Y127" t="s">
        <v>911</v>
      </c>
      <c r="Z127" t="s">
        <v>907</v>
      </c>
      <c r="AA127" t="s">
        <v>1245</v>
      </c>
      <c r="AB127">
        <v>1</v>
      </c>
    </row>
    <row r="128" spans="1:28" x14ac:dyDescent="0.25">
      <c r="A128" s="4">
        <v>127</v>
      </c>
      <c r="B128" s="4" t="s">
        <v>1322</v>
      </c>
      <c r="C128" s="28">
        <v>7.6020000000000003</v>
      </c>
      <c r="D128" s="4">
        <v>2000</v>
      </c>
      <c r="E128" s="10" t="s">
        <v>581</v>
      </c>
      <c r="F128" s="10" t="s">
        <v>1323</v>
      </c>
      <c r="G128" s="10" t="s">
        <v>1324</v>
      </c>
      <c r="H128" s="10" t="s">
        <v>1296</v>
      </c>
      <c r="I128" s="10" t="s">
        <v>1112</v>
      </c>
      <c r="J128" s="10" t="s">
        <v>219</v>
      </c>
      <c r="K128" s="10" t="s">
        <v>215</v>
      </c>
      <c r="L128" s="10" t="s">
        <v>222</v>
      </c>
      <c r="M128" s="4">
        <v>7.7</v>
      </c>
      <c r="N128" s="4">
        <v>78</v>
      </c>
      <c r="O128" s="4">
        <v>4</v>
      </c>
      <c r="P128" s="20">
        <f>(M128+(N128/10)+(O128*2))/3</f>
        <v>7.833333333333333</v>
      </c>
      <c r="Q128" s="20">
        <f>(M128+C128+(N128/10)+(O128*2))/4</f>
        <v>7.7755000000000001</v>
      </c>
      <c r="R128" s="20">
        <f>(M128+C128+(N128/10))/3</f>
        <v>7.7006666666666668</v>
      </c>
      <c r="S128" s="27">
        <f>IF(C128 &gt; 9.25, 10, IF(C128 &gt; 6.75, ROUND(C128, 0), MAX(1, FLOOR(C128, 1))))</f>
        <v>8</v>
      </c>
      <c r="T128" s="20">
        <f>S128/2</f>
        <v>4</v>
      </c>
      <c r="U128" s="25">
        <v>46242</v>
      </c>
      <c r="V128">
        <v>1</v>
      </c>
      <c r="W128" s="25" t="s">
        <v>758</v>
      </c>
      <c r="X128">
        <v>107</v>
      </c>
      <c r="Y128" t="s">
        <v>911</v>
      </c>
      <c r="Z128" t="s">
        <v>907</v>
      </c>
    </row>
    <row r="129" spans="1:28" x14ac:dyDescent="0.25">
      <c r="A129" s="4">
        <v>128</v>
      </c>
      <c r="B129" s="4" t="s">
        <v>1276</v>
      </c>
      <c r="C129" s="28">
        <v>7.601</v>
      </c>
      <c r="D129" s="4">
        <v>2025</v>
      </c>
      <c r="E129" s="10" t="s">
        <v>1134</v>
      </c>
      <c r="F129" s="10" t="s">
        <v>988</v>
      </c>
      <c r="G129" s="10" t="s">
        <v>1278</v>
      </c>
      <c r="H129" s="10" t="s">
        <v>1277</v>
      </c>
      <c r="I129" s="10" t="s">
        <v>1279</v>
      </c>
      <c r="J129" s="10" t="s">
        <v>208</v>
      </c>
      <c r="K129" s="10" t="s">
        <v>223</v>
      </c>
      <c r="L129" s="10" t="s">
        <v>951</v>
      </c>
      <c r="M129" s="4">
        <v>7.1</v>
      </c>
      <c r="N129" s="4">
        <v>88</v>
      </c>
      <c r="O129" s="4">
        <v>3.6</v>
      </c>
      <c r="P129" s="20">
        <f>(M129+(N129/10)+(O129*2))/3</f>
        <v>7.7</v>
      </c>
      <c r="Q129" s="20">
        <f>(M129+C129+(N129/10)+(O129*2))/4</f>
        <v>7.6752500000000001</v>
      </c>
      <c r="R129" s="20">
        <f>(M129+C129+(N129/10))/3</f>
        <v>7.8336666666666668</v>
      </c>
      <c r="S129" s="27">
        <f>IF(C129 &gt; 9.25, 10, IF(C129 &gt; 6.75, ROUND(C129, 0), MAX(1, FLOOR(C129, 1))))</f>
        <v>8</v>
      </c>
      <c r="T129" s="20">
        <f>S129/2</f>
        <v>4</v>
      </c>
      <c r="U129" s="25">
        <v>46220</v>
      </c>
      <c r="V129">
        <v>1</v>
      </c>
      <c r="W129" s="25" t="s">
        <v>758</v>
      </c>
      <c r="X129">
        <v>126</v>
      </c>
      <c r="Y129" t="s">
        <v>911</v>
      </c>
      <c r="Z129" t="s">
        <v>907</v>
      </c>
      <c r="AA129" t="s">
        <v>1126</v>
      </c>
      <c r="AB129">
        <v>49</v>
      </c>
    </row>
    <row r="130" spans="1:28" x14ac:dyDescent="0.25">
      <c r="A130" s="4">
        <v>129</v>
      </c>
      <c r="B130" s="4" t="s">
        <v>692</v>
      </c>
      <c r="C130" s="28">
        <v>7.5060000000000002</v>
      </c>
      <c r="D130" s="4">
        <v>2001</v>
      </c>
      <c r="E130" s="10" t="s">
        <v>693</v>
      </c>
      <c r="F130" s="10" t="s">
        <v>1187</v>
      </c>
      <c r="G130" s="10" t="s">
        <v>694</v>
      </c>
      <c r="H130" s="10" t="s">
        <v>261</v>
      </c>
      <c r="I130" s="10" t="s">
        <v>505</v>
      </c>
      <c r="J130" s="10" t="s">
        <v>226</v>
      </c>
      <c r="K130" s="10" t="s">
        <v>209</v>
      </c>
      <c r="L130" s="10" t="s">
        <v>208</v>
      </c>
      <c r="M130" s="4">
        <v>7.7</v>
      </c>
      <c r="N130" s="4">
        <v>76</v>
      </c>
      <c r="O130" s="4">
        <v>3.7</v>
      </c>
      <c r="P130" s="20">
        <f>(M130+(N130/10)+(O130*2))/3</f>
        <v>7.5666666666666673</v>
      </c>
      <c r="Q130" s="20">
        <f>(M130+C130+(N130/10)+(O130*2))/4</f>
        <v>7.551499999999999</v>
      </c>
      <c r="R130" s="20">
        <f>(M130+C130+(N130/10))/3</f>
        <v>7.6019999999999994</v>
      </c>
      <c r="S130" s="27">
        <f>IF(C130 &gt; 9.25, 10, IF(C130 &gt; 6.75, ROUND(C130, 0), MAX(1, FLOOR(C130, 1))))</f>
        <v>8</v>
      </c>
      <c r="T130" s="20">
        <f>S130/2</f>
        <v>4</v>
      </c>
      <c r="U130" s="25">
        <v>45751</v>
      </c>
      <c r="V130">
        <v>1</v>
      </c>
      <c r="W130" s="25" t="s">
        <v>758</v>
      </c>
      <c r="X130">
        <v>144</v>
      </c>
      <c r="Y130" t="s">
        <v>911</v>
      </c>
      <c r="Z130" t="s">
        <v>825</v>
      </c>
      <c r="AA130" s="25"/>
    </row>
    <row r="131" spans="1:28" x14ac:dyDescent="0.25">
      <c r="A131" s="4">
        <v>130</v>
      </c>
      <c r="B131" s="4" t="s">
        <v>471</v>
      </c>
      <c r="C131" s="28">
        <v>7.5049999999999999</v>
      </c>
      <c r="D131" s="4">
        <v>2017</v>
      </c>
      <c r="E131" s="10" t="s">
        <v>472</v>
      </c>
      <c r="F131" s="10" t="s">
        <v>473</v>
      </c>
      <c r="G131" s="10" t="s">
        <v>474</v>
      </c>
      <c r="H131" s="10" t="s">
        <v>475</v>
      </c>
      <c r="I131" s="10" t="s">
        <v>38</v>
      </c>
      <c r="J131" s="5" t="s">
        <v>226</v>
      </c>
      <c r="K131" s="10" t="s">
        <v>217</v>
      </c>
      <c r="L131" s="10" t="s">
        <v>209</v>
      </c>
      <c r="M131" s="4">
        <v>7.8</v>
      </c>
      <c r="N131" s="4">
        <v>92</v>
      </c>
      <c r="O131" s="4">
        <v>3.8</v>
      </c>
      <c r="P131" s="20">
        <f>(M131+(N131/10)+(O131*2))/3</f>
        <v>8.2000000000000011</v>
      </c>
      <c r="Q131" s="20">
        <f>(M131+C131+(N131/10)+(O131*2))/4</f>
        <v>8.0262499999999992</v>
      </c>
      <c r="R131" s="20">
        <f>(M131+C131+(N131/10))/3</f>
        <v>8.168333333333333</v>
      </c>
      <c r="S131" s="27">
        <f>IF(C131 &gt; 9.25, 10, IF(C131 &gt; 6.75, ROUND(C131, 0), MAX(1, FLOOR(C131, 1))))</f>
        <v>8</v>
      </c>
      <c r="T131" s="20">
        <f>S131/2</f>
        <v>4</v>
      </c>
      <c r="U131" s="25">
        <v>45140</v>
      </c>
      <c r="V131">
        <v>1</v>
      </c>
      <c r="W131" s="25" t="s">
        <v>758</v>
      </c>
      <c r="X131">
        <v>106</v>
      </c>
      <c r="Y131" t="s">
        <v>911</v>
      </c>
      <c r="Z131" t="s">
        <v>825</v>
      </c>
      <c r="AA131" s="25"/>
    </row>
    <row r="132" spans="1:28" x14ac:dyDescent="0.25">
      <c r="A132" s="4">
        <v>131</v>
      </c>
      <c r="B132" s="4" t="s">
        <v>344</v>
      </c>
      <c r="C132" s="28">
        <v>7.5039999999999996</v>
      </c>
      <c r="D132" s="4">
        <v>2013</v>
      </c>
      <c r="E132" s="5" t="s">
        <v>346</v>
      </c>
      <c r="F132" s="10" t="s">
        <v>347</v>
      </c>
      <c r="G132" s="10" t="s">
        <v>348</v>
      </c>
      <c r="H132" s="10" t="s">
        <v>1188</v>
      </c>
      <c r="I132" s="10" t="s">
        <v>349</v>
      </c>
      <c r="J132" t="s">
        <v>648</v>
      </c>
      <c r="K132" s="10" t="s">
        <v>209</v>
      </c>
      <c r="L132" s="10" t="s">
        <v>220</v>
      </c>
      <c r="M132" s="4">
        <v>8.1</v>
      </c>
      <c r="N132" s="4">
        <v>88</v>
      </c>
      <c r="O132" s="4">
        <v>3.9</v>
      </c>
      <c r="P132" s="20">
        <f>(M132+(N132/10)+(O132*2))/3</f>
        <v>8.2333333333333325</v>
      </c>
      <c r="Q132" s="20">
        <f>(M132+C132+(N132/10)+(O132*2))/4</f>
        <v>8.0510000000000002</v>
      </c>
      <c r="R132" s="20">
        <f>(M132+C132+(N132/10))/3</f>
        <v>8.134666666666666</v>
      </c>
      <c r="S132" s="27">
        <f>IF(C132 &gt; 9.25, 10, IF(C132 &gt; 6.75, ROUND(C132, 0), MAX(1, FLOOR(C132, 1))))</f>
        <v>8</v>
      </c>
      <c r="T132" s="20">
        <f>S132/2</f>
        <v>4</v>
      </c>
      <c r="U132" s="25">
        <v>45082</v>
      </c>
      <c r="V132">
        <v>1</v>
      </c>
      <c r="W132" s="25" t="s">
        <v>758</v>
      </c>
      <c r="X132">
        <v>123</v>
      </c>
      <c r="Y132" t="s">
        <v>911</v>
      </c>
      <c r="Z132" t="s">
        <v>825</v>
      </c>
      <c r="AA132" s="25"/>
    </row>
    <row r="133" spans="1:28" x14ac:dyDescent="0.25">
      <c r="A133" s="4">
        <v>132</v>
      </c>
      <c r="B133" s="4" t="s">
        <v>933</v>
      </c>
      <c r="C133" s="28">
        <v>7.5030000000000001</v>
      </c>
      <c r="D133" s="4">
        <v>2022</v>
      </c>
      <c r="E133" s="10" t="s">
        <v>52</v>
      </c>
      <c r="F133" s="10" t="s">
        <v>934</v>
      </c>
      <c r="G133" s="10" t="s">
        <v>935</v>
      </c>
      <c r="H133" s="10" t="s">
        <v>936</v>
      </c>
      <c r="I133" s="10" t="s">
        <v>937</v>
      </c>
      <c r="J133" s="10" t="s">
        <v>208</v>
      </c>
      <c r="K133" s="10" t="s">
        <v>219</v>
      </c>
      <c r="L133" s="10" t="s">
        <v>217</v>
      </c>
      <c r="M133" s="4">
        <v>7.3</v>
      </c>
      <c r="N133" s="4">
        <v>52</v>
      </c>
      <c r="O133" s="4">
        <v>3.6</v>
      </c>
      <c r="P133" s="20">
        <f>(M133+(N133/10)+(O133*2))/3</f>
        <v>6.5666666666666664</v>
      </c>
      <c r="Q133" s="20">
        <f>(M133+C133+(N133/10)+(O133*2))/4</f>
        <v>6.8007499999999999</v>
      </c>
      <c r="R133" s="20">
        <f>(M133+C133+(N133/10))/3</f>
        <v>6.6676666666666664</v>
      </c>
      <c r="S133" s="27">
        <f>IF(C133 &gt; 9.25, 10, IF(C133 &gt; 6.75, ROUND(C133, 0), MAX(1, FLOOR(C133, 1))))</f>
        <v>8</v>
      </c>
      <c r="T133" s="20">
        <f>S133/2</f>
        <v>4</v>
      </c>
      <c r="U133" s="25">
        <v>46047</v>
      </c>
      <c r="V133">
        <v>1</v>
      </c>
      <c r="W133" s="25" t="s">
        <v>758</v>
      </c>
      <c r="X133">
        <v>126</v>
      </c>
      <c r="Y133" t="s">
        <v>911</v>
      </c>
      <c r="Z133" t="s">
        <v>907</v>
      </c>
      <c r="AA133" s="25"/>
    </row>
    <row r="134" spans="1:28" x14ac:dyDescent="0.25">
      <c r="A134" s="4">
        <v>133</v>
      </c>
      <c r="B134" s="4" t="s">
        <v>1136</v>
      </c>
      <c r="C134" s="28">
        <v>7.5019999999999998</v>
      </c>
      <c r="D134" s="4">
        <v>2018</v>
      </c>
      <c r="E134" s="10" t="s">
        <v>190</v>
      </c>
      <c r="F134" s="10" t="s">
        <v>1137</v>
      </c>
      <c r="G134" s="10" t="s">
        <v>1138</v>
      </c>
      <c r="H134" s="10" t="s">
        <v>1139</v>
      </c>
      <c r="I134" s="10" t="s">
        <v>1140</v>
      </c>
      <c r="J134" s="10" t="s">
        <v>208</v>
      </c>
      <c r="K134" s="10" t="s">
        <v>223</v>
      </c>
      <c r="L134" s="10" t="s">
        <v>951</v>
      </c>
      <c r="M134" s="4">
        <v>7.3</v>
      </c>
      <c r="N134" s="4">
        <v>96</v>
      </c>
      <c r="O134" s="4">
        <v>3.7</v>
      </c>
      <c r="P134" s="20">
        <f>(M134+(N134/10)+(O134*2))/3</f>
        <v>8.1</v>
      </c>
      <c r="Q134" s="20">
        <f>(M134+C134+(N134/10)+(O134*2))/4</f>
        <v>7.9504999999999999</v>
      </c>
      <c r="R134" s="20">
        <f>(M134+C134+(N134/10))/3</f>
        <v>8.1340000000000003</v>
      </c>
      <c r="S134" s="27">
        <f>IF(C134 &gt; 9.25, 10, IF(C134 &gt; 6.75, ROUND(C134, 0), MAX(1, FLOOR(C134, 1))))</f>
        <v>8</v>
      </c>
      <c r="T134" s="20">
        <f>S134/2</f>
        <v>4</v>
      </c>
      <c r="U134" s="25">
        <v>46177</v>
      </c>
      <c r="V134">
        <v>1</v>
      </c>
      <c r="W134" s="25" t="s">
        <v>758</v>
      </c>
      <c r="X134">
        <v>134</v>
      </c>
      <c r="Y134" t="s">
        <v>911</v>
      </c>
      <c r="Z134" t="s">
        <v>907</v>
      </c>
      <c r="AA134" t="s">
        <v>1136</v>
      </c>
      <c r="AB134">
        <v>1</v>
      </c>
    </row>
    <row r="135" spans="1:28" x14ac:dyDescent="0.25">
      <c r="A135" s="4">
        <v>134</v>
      </c>
      <c r="B135" s="4" t="s">
        <v>201</v>
      </c>
      <c r="C135" s="28">
        <v>7.5010000000000003</v>
      </c>
      <c r="D135" s="4">
        <v>2002</v>
      </c>
      <c r="E135" s="10" t="s">
        <v>19</v>
      </c>
      <c r="F135" s="10" t="s">
        <v>204</v>
      </c>
      <c r="G135" s="10" t="s">
        <v>206</v>
      </c>
      <c r="H135" s="10" t="s">
        <v>205</v>
      </c>
      <c r="I135" s="10" t="s">
        <v>343</v>
      </c>
      <c r="J135" s="10" t="s">
        <v>208</v>
      </c>
      <c r="K135" s="10" t="s">
        <v>217</v>
      </c>
      <c r="L135" s="10" t="s">
        <v>222</v>
      </c>
      <c r="M135" s="4">
        <v>7.8</v>
      </c>
      <c r="N135" s="4">
        <v>83</v>
      </c>
      <c r="O135" s="4">
        <v>3.7</v>
      </c>
      <c r="P135" s="20">
        <f>(M135+(N135/10)+(O135*2))/3</f>
        <v>7.833333333333333</v>
      </c>
      <c r="Q135" s="20">
        <f>(M135+C135+(N135/10)+(O135*2))/4</f>
        <v>7.7502499999999994</v>
      </c>
      <c r="R135" s="20">
        <f>(M135+C135+(N135/10))/3</f>
        <v>7.867</v>
      </c>
      <c r="S135" s="27">
        <f>IF(C135 &gt; 9.25, 10, IF(C135 &gt; 6.75, ROUND(C135, 0), MAX(1, FLOOR(C135, 1))))</f>
        <v>8</v>
      </c>
      <c r="T135" s="20">
        <f>S135/2</f>
        <v>4</v>
      </c>
      <c r="U135" s="25">
        <v>45106</v>
      </c>
      <c r="V135">
        <v>1</v>
      </c>
      <c r="W135" s="25" t="s">
        <v>758</v>
      </c>
      <c r="X135">
        <v>119</v>
      </c>
      <c r="Y135" t="s">
        <v>911</v>
      </c>
      <c r="Z135" t="s">
        <v>825</v>
      </c>
      <c r="AA135" s="25" t="s">
        <v>411</v>
      </c>
      <c r="AB135">
        <v>1</v>
      </c>
    </row>
    <row r="136" spans="1:28" x14ac:dyDescent="0.25">
      <c r="A136" s="4">
        <v>135</v>
      </c>
      <c r="B136" s="4" t="s">
        <v>1146</v>
      </c>
      <c r="C136" s="28">
        <v>7.4059999999999997</v>
      </c>
      <c r="D136" s="4">
        <v>2017</v>
      </c>
      <c r="E136" s="10" t="s">
        <v>347</v>
      </c>
      <c r="F136" s="10" t="s">
        <v>1147</v>
      </c>
      <c r="G136" s="10" t="s">
        <v>309</v>
      </c>
      <c r="H136" s="10" t="s">
        <v>1021</v>
      </c>
      <c r="I136" s="10" t="s">
        <v>1148</v>
      </c>
      <c r="J136" s="10" t="s">
        <v>208</v>
      </c>
      <c r="K136" s="10" t="s">
        <v>223</v>
      </c>
      <c r="L136" s="10" t="s">
        <v>951</v>
      </c>
      <c r="M136" s="4">
        <v>7.9</v>
      </c>
      <c r="N136" s="4">
        <v>93</v>
      </c>
      <c r="O136" s="4">
        <v>3.7</v>
      </c>
      <c r="P136" s="20">
        <f>(M136+(N136/10)+(O136*2))/3</f>
        <v>8.2000000000000011</v>
      </c>
      <c r="Q136" s="20">
        <f>(M136+C136+(N136/10)+(O136*2))/4</f>
        <v>8.0015000000000001</v>
      </c>
      <c r="R136" s="20">
        <f>(M136+C136+(N136/10))/3</f>
        <v>8.202</v>
      </c>
      <c r="S136" s="27">
        <f>IF(C136 &gt; 9.25, 10, IF(C136 &gt; 6.75, ROUND(C136, 0), MAX(1, FLOOR(C136, 1))))</f>
        <v>7</v>
      </c>
      <c r="T136" s="20">
        <f>S136/2</f>
        <v>3.5</v>
      </c>
      <c r="U136" s="25">
        <v>46188</v>
      </c>
      <c r="V136">
        <v>1</v>
      </c>
      <c r="W136" s="25" t="s">
        <v>758</v>
      </c>
      <c r="X136">
        <v>130</v>
      </c>
      <c r="Y136" t="s">
        <v>911</v>
      </c>
      <c r="Z136" t="s">
        <v>907</v>
      </c>
      <c r="AA136" t="s">
        <v>1019</v>
      </c>
      <c r="AB136">
        <v>3</v>
      </c>
    </row>
    <row r="137" spans="1:28" x14ac:dyDescent="0.25">
      <c r="A137" s="4">
        <v>136</v>
      </c>
      <c r="B137" s="4" t="s">
        <v>527</v>
      </c>
      <c r="C137" s="28">
        <v>7.4050000000000002</v>
      </c>
      <c r="D137" s="4">
        <v>2011</v>
      </c>
      <c r="E137" s="10" t="s">
        <v>9</v>
      </c>
      <c r="F137" s="10" t="s">
        <v>146</v>
      </c>
      <c r="G137" s="10" t="s">
        <v>270</v>
      </c>
      <c r="H137" s="10" t="s">
        <v>271</v>
      </c>
      <c r="I137" s="10" t="s">
        <v>147</v>
      </c>
      <c r="J137" s="5" t="s">
        <v>208</v>
      </c>
      <c r="K137" s="10" t="s">
        <v>217</v>
      </c>
      <c r="L137" s="10" t="s">
        <v>222</v>
      </c>
      <c r="M137" s="4">
        <v>7.4</v>
      </c>
      <c r="N137" s="4">
        <v>93</v>
      </c>
      <c r="O137" s="4">
        <v>3.7</v>
      </c>
      <c r="P137" s="20">
        <f>(M137+(N137/10)+(O137*2))/3</f>
        <v>8.0333333333333332</v>
      </c>
      <c r="Q137" s="20">
        <f>(M137+C137+(N137/10)+(O137*2))/4</f>
        <v>7.8762500000000006</v>
      </c>
      <c r="R137" s="20">
        <f>(M137+C137+(N137/10))/3</f>
        <v>8.0350000000000001</v>
      </c>
      <c r="S137" s="27">
        <f>IF(C137 &gt; 9.25, 10, IF(C137 &gt; 6.75, ROUND(C137, 0), MAX(1, FLOOR(C137, 1))))</f>
        <v>7</v>
      </c>
      <c r="T137" s="20">
        <f>S137/2</f>
        <v>3.5</v>
      </c>
      <c r="U137" s="25">
        <v>45858</v>
      </c>
      <c r="V137">
        <v>2</v>
      </c>
      <c r="W137" s="25" t="s">
        <v>758</v>
      </c>
      <c r="X137">
        <v>132</v>
      </c>
      <c r="Y137" t="s">
        <v>922</v>
      </c>
      <c r="Z137" t="s">
        <v>914</v>
      </c>
      <c r="AA137" s="25" t="s">
        <v>81</v>
      </c>
      <c r="AB137">
        <v>4</v>
      </c>
    </row>
    <row r="138" spans="1:28" x14ac:dyDescent="0.25">
      <c r="A138" s="4">
        <v>137</v>
      </c>
      <c r="B138" s="4" t="s">
        <v>81</v>
      </c>
      <c r="C138" s="28">
        <v>7.4039999999999999</v>
      </c>
      <c r="D138" s="4">
        <v>1996</v>
      </c>
      <c r="E138" s="5" t="s">
        <v>9</v>
      </c>
      <c r="F138" s="5" t="s">
        <v>43</v>
      </c>
      <c r="G138" s="5" t="s">
        <v>253</v>
      </c>
      <c r="H138" s="5" t="s">
        <v>254</v>
      </c>
      <c r="I138" s="5" t="s">
        <v>44</v>
      </c>
      <c r="J138" s="10" t="s">
        <v>208</v>
      </c>
      <c r="K138" s="10" t="s">
        <v>217</v>
      </c>
      <c r="L138" s="10" t="s">
        <v>222</v>
      </c>
      <c r="M138" s="4">
        <v>7.2</v>
      </c>
      <c r="N138" s="4">
        <v>64</v>
      </c>
      <c r="O138" s="4">
        <v>3.6</v>
      </c>
      <c r="P138" s="20">
        <f>(M138+(N138/10)+(O138*2))/3</f>
        <v>6.9333333333333336</v>
      </c>
      <c r="Q138" s="20">
        <f>(M138+C138+(N138/10)+(O138*2))/4</f>
        <v>7.0509999999999993</v>
      </c>
      <c r="R138" s="20">
        <f>(M138+C138+(N138/10))/3</f>
        <v>7.0013333333333323</v>
      </c>
      <c r="S138" s="27">
        <f>IF(C138 &gt; 9.25, 10, IF(C138 &gt; 6.75, ROUND(C138, 0), MAX(1, FLOOR(C138, 1))))</f>
        <v>7</v>
      </c>
      <c r="T138" s="20">
        <f>S138/2</f>
        <v>3.5</v>
      </c>
      <c r="U138" s="25">
        <v>45828</v>
      </c>
      <c r="V138">
        <v>2</v>
      </c>
      <c r="W138" s="25" t="s">
        <v>758</v>
      </c>
      <c r="X138">
        <v>110</v>
      </c>
      <c r="Y138" t="s">
        <v>922</v>
      </c>
      <c r="Z138" t="s">
        <v>914</v>
      </c>
      <c r="AA138" s="25" t="s">
        <v>81</v>
      </c>
      <c r="AB138">
        <v>1</v>
      </c>
    </row>
    <row r="139" spans="1:28" x14ac:dyDescent="0.25">
      <c r="A139" s="4">
        <v>138</v>
      </c>
      <c r="B139" s="4" t="s">
        <v>353</v>
      </c>
      <c r="C139" s="28">
        <v>7.4029999999999996</v>
      </c>
      <c r="D139" s="4">
        <v>2007</v>
      </c>
      <c r="E139" s="10" t="s">
        <v>19</v>
      </c>
      <c r="F139" s="10" t="s">
        <v>354</v>
      </c>
      <c r="G139" s="10" t="s">
        <v>207</v>
      </c>
      <c r="H139" s="10" t="s">
        <v>355</v>
      </c>
      <c r="I139" s="10" t="s">
        <v>341</v>
      </c>
      <c r="J139" s="10" t="s">
        <v>208</v>
      </c>
      <c r="K139" s="10" t="s">
        <v>217</v>
      </c>
      <c r="L139" s="10" t="s">
        <v>222</v>
      </c>
      <c r="M139" s="4">
        <v>8</v>
      </c>
      <c r="N139" s="4">
        <v>92</v>
      </c>
      <c r="O139" s="4">
        <v>3.7</v>
      </c>
      <c r="P139" s="20">
        <f>(M139+(N139/10)+(O139*2))/3</f>
        <v>8.2000000000000011</v>
      </c>
      <c r="Q139" s="20">
        <f>(M139+C139+(N139/10)+(O139*2))/4</f>
        <v>8.00075</v>
      </c>
      <c r="R139" s="20">
        <f>(M139+C139+(N139/10))/3</f>
        <v>8.2009999999999987</v>
      </c>
      <c r="S139" s="27">
        <f>IF(C139 &gt; 9.25, 10, IF(C139 &gt; 6.75, ROUND(C139, 0), MAX(1, FLOOR(C139, 1))))</f>
        <v>7</v>
      </c>
      <c r="T139" s="20">
        <f>S139/2</f>
        <v>3.5</v>
      </c>
      <c r="U139" s="25">
        <v>45089</v>
      </c>
      <c r="V139">
        <v>1</v>
      </c>
      <c r="W139" s="25" t="s">
        <v>758</v>
      </c>
      <c r="X139">
        <v>115</v>
      </c>
      <c r="Y139" t="s">
        <v>911</v>
      </c>
      <c r="Z139" t="s">
        <v>825</v>
      </c>
      <c r="AA139" s="25" t="s">
        <v>411</v>
      </c>
      <c r="AB139">
        <v>3</v>
      </c>
    </row>
    <row r="140" spans="1:28" x14ac:dyDescent="0.25">
      <c r="A140" s="4">
        <v>139</v>
      </c>
      <c r="B140" s="4" t="s">
        <v>1282</v>
      </c>
      <c r="C140" s="28">
        <v>7.4020000000000001</v>
      </c>
      <c r="D140" s="4">
        <v>2018</v>
      </c>
      <c r="E140" s="10" t="s">
        <v>1137</v>
      </c>
      <c r="F140" s="10" t="s">
        <v>1151</v>
      </c>
      <c r="G140" s="10" t="s">
        <v>1147</v>
      </c>
      <c r="H140" s="10" t="s">
        <v>651</v>
      </c>
      <c r="I140" s="10" t="s">
        <v>1283</v>
      </c>
      <c r="J140" s="10" t="s">
        <v>210</v>
      </c>
      <c r="K140" s="10" t="s">
        <v>209</v>
      </c>
      <c r="L140" s="10" t="s">
        <v>1155</v>
      </c>
      <c r="M140" s="4">
        <v>7.1</v>
      </c>
      <c r="N140" s="4">
        <v>83</v>
      </c>
      <c r="O140" s="4">
        <v>3.6</v>
      </c>
      <c r="P140" s="20">
        <f>(M140+(N140/10)+(O140*2))/3</f>
        <v>7.5333333333333341</v>
      </c>
      <c r="Q140" s="20">
        <f>(M140+C140+(N140/10)+(O140*2))/4</f>
        <v>7.5004999999999997</v>
      </c>
      <c r="R140" s="20">
        <f>(M140+C140+(N140/10))/3</f>
        <v>7.6006666666666662</v>
      </c>
      <c r="S140" s="27">
        <f>IF(C140 &gt; 9.25, 10, IF(C140 &gt; 6.75, ROUND(C140, 0), MAX(1, FLOOR(C140, 1))))</f>
        <v>7</v>
      </c>
      <c r="T140" s="20">
        <f>S140/2</f>
        <v>3.5</v>
      </c>
      <c r="U140" s="25">
        <v>46222</v>
      </c>
      <c r="V140">
        <v>1</v>
      </c>
      <c r="W140" s="25" t="s">
        <v>758</v>
      </c>
      <c r="X140">
        <v>130</v>
      </c>
      <c r="Y140" t="s">
        <v>911</v>
      </c>
      <c r="Z140" t="s">
        <v>907</v>
      </c>
      <c r="AA140" t="s">
        <v>1263</v>
      </c>
      <c r="AB140">
        <v>2</v>
      </c>
    </row>
    <row r="141" spans="1:28" x14ac:dyDescent="0.25">
      <c r="A141" s="4">
        <v>140</v>
      </c>
      <c r="B141" s="4" t="s">
        <v>824</v>
      </c>
      <c r="C141" s="28">
        <v>7.4009999999999998</v>
      </c>
      <c r="D141" s="4">
        <v>2005</v>
      </c>
      <c r="E141" s="10" t="s">
        <v>52</v>
      </c>
      <c r="F141" s="10" t="s">
        <v>765</v>
      </c>
      <c r="G141" s="10" t="s">
        <v>91</v>
      </c>
      <c r="H141" s="10" t="s">
        <v>895</v>
      </c>
      <c r="I141" s="10" t="s">
        <v>343</v>
      </c>
      <c r="J141" s="10" t="s">
        <v>215</v>
      </c>
      <c r="K141" s="10" t="s">
        <v>208</v>
      </c>
      <c r="L141" s="10" t="s">
        <v>221</v>
      </c>
      <c r="M141" s="4">
        <v>6.5</v>
      </c>
      <c r="N141" s="4">
        <v>60</v>
      </c>
      <c r="O141" s="4">
        <v>3.3</v>
      </c>
      <c r="P141" s="20">
        <f>(M141+(N141/10)+(O141*2))/3</f>
        <v>6.3666666666666671</v>
      </c>
      <c r="Q141" s="20">
        <f>(M141+C141+(N141/10)+(O141*2))/4</f>
        <v>6.6252499999999994</v>
      </c>
      <c r="R141" s="20">
        <f>(M141+C141+(N141/10))/3</f>
        <v>6.6336666666666666</v>
      </c>
      <c r="S141" s="27">
        <f>IF(C141 &gt; 9.25, 10, IF(C141 &gt; 6.75, ROUND(C141, 0), MAX(1, FLOOR(C141, 1))))</f>
        <v>7</v>
      </c>
      <c r="T141" s="20">
        <f>S141/2</f>
        <v>3.5</v>
      </c>
      <c r="U141" s="25">
        <v>45955</v>
      </c>
      <c r="V141">
        <v>1</v>
      </c>
      <c r="W141" s="25" t="s">
        <v>758</v>
      </c>
      <c r="X141">
        <v>115</v>
      </c>
      <c r="Y141" t="s">
        <v>911</v>
      </c>
      <c r="Z141" t="s">
        <v>825</v>
      </c>
      <c r="AA141" s="25"/>
    </row>
    <row r="142" spans="1:28" x14ac:dyDescent="0.25">
      <c r="A142" s="4">
        <v>141</v>
      </c>
      <c r="B142" s="4" t="s">
        <v>181</v>
      </c>
      <c r="C142" s="28">
        <v>7.3070000000000004</v>
      </c>
      <c r="D142" s="4">
        <v>1998</v>
      </c>
      <c r="E142" s="10" t="s">
        <v>73</v>
      </c>
      <c r="F142" s="5" t="s">
        <v>13</v>
      </c>
      <c r="G142" s="5" t="s">
        <v>1190</v>
      </c>
      <c r="H142" s="5" t="s">
        <v>1191</v>
      </c>
      <c r="I142" s="5" t="s">
        <v>71</v>
      </c>
      <c r="J142" s="5" t="s">
        <v>219</v>
      </c>
      <c r="M142" s="4">
        <v>8.1999999999999993</v>
      </c>
      <c r="N142" s="4">
        <v>95</v>
      </c>
      <c r="O142" s="4">
        <v>3.9</v>
      </c>
      <c r="P142" s="20">
        <f>(M142+(N142/10)+(O142*2))/3</f>
        <v>8.5</v>
      </c>
      <c r="Q142" s="20">
        <f>(M142+C142+(N142/10)+(O142*2))/4</f>
        <v>8.2017499999999988</v>
      </c>
      <c r="R142" s="20">
        <f>(M142+C142+(N142/10))/3</f>
        <v>8.3356666666666666</v>
      </c>
      <c r="S142" s="27">
        <f>IF(C142 &gt; 9.25, 10, IF(C142 &gt; 6.75, ROUND(C142, 0), MAX(1, FLOOR(C142, 1))))</f>
        <v>7</v>
      </c>
      <c r="T142" s="20">
        <f>S142/2</f>
        <v>3.5</v>
      </c>
      <c r="U142" s="25">
        <v>45071</v>
      </c>
      <c r="V142">
        <v>1</v>
      </c>
      <c r="W142" s="25" t="s">
        <v>758</v>
      </c>
      <c r="X142">
        <v>103</v>
      </c>
      <c r="Y142" t="s">
        <v>916</v>
      </c>
      <c r="Z142" t="s">
        <v>914</v>
      </c>
      <c r="AA142" s="25"/>
    </row>
    <row r="143" spans="1:28" x14ac:dyDescent="0.25">
      <c r="A143" s="4">
        <v>142</v>
      </c>
      <c r="B143" s="4" t="s">
        <v>1240</v>
      </c>
      <c r="C143" s="28">
        <v>7.306</v>
      </c>
      <c r="D143" s="4">
        <v>2009</v>
      </c>
      <c r="E143" s="10" t="s">
        <v>1241</v>
      </c>
      <c r="F143" s="10" t="s">
        <v>524</v>
      </c>
      <c r="G143" s="10" t="s">
        <v>1243</v>
      </c>
      <c r="H143" s="10" t="s">
        <v>1244</v>
      </c>
      <c r="I143" s="10" t="s">
        <v>1242</v>
      </c>
      <c r="J143" s="10" t="s">
        <v>208</v>
      </c>
      <c r="K143" s="10" t="s">
        <v>223</v>
      </c>
      <c r="L143" t="s">
        <v>951</v>
      </c>
      <c r="M143" s="4">
        <v>6.5</v>
      </c>
      <c r="N143" s="4">
        <v>37</v>
      </c>
      <c r="O143" s="4">
        <v>2.6</v>
      </c>
      <c r="P143" s="20">
        <f>(M143+(N143/10)+(O143*2))/3</f>
        <v>5.1333333333333329</v>
      </c>
      <c r="Q143" s="20">
        <f>(M143+C143+(N143/10)+(O143*2))/4</f>
        <v>5.6764999999999999</v>
      </c>
      <c r="R143" s="20">
        <f>(M143+C143+(N143/10))/3</f>
        <v>5.8353333333333337</v>
      </c>
      <c r="S143" s="27">
        <f>IF(C143 &gt; 9.25, 10, IF(C143 &gt; 6.75, ROUND(C143, 0), MAX(1, FLOOR(C143, 1))))</f>
        <v>7</v>
      </c>
      <c r="T143" s="20">
        <f>S143/2</f>
        <v>3.5</v>
      </c>
      <c r="U143" s="25">
        <v>46214</v>
      </c>
      <c r="V143">
        <v>1</v>
      </c>
      <c r="W143" s="25" t="s">
        <v>758</v>
      </c>
      <c r="X143">
        <v>107</v>
      </c>
      <c r="Y143" t="s">
        <v>911</v>
      </c>
      <c r="Z143" t="s">
        <v>907</v>
      </c>
      <c r="AA143" t="s">
        <v>1245</v>
      </c>
      <c r="AB143">
        <v>2</v>
      </c>
    </row>
    <row r="144" spans="1:28" x14ac:dyDescent="0.25">
      <c r="A144" s="4">
        <v>143</v>
      </c>
      <c r="B144" s="4">
        <v>1917</v>
      </c>
      <c r="C144" s="28">
        <v>7.3049999999999997</v>
      </c>
      <c r="D144" s="4">
        <v>2019</v>
      </c>
      <c r="E144" s="10" t="s">
        <v>678</v>
      </c>
      <c r="F144" s="10" t="s">
        <v>679</v>
      </c>
      <c r="G144" s="10" t="s">
        <v>680</v>
      </c>
      <c r="H144" s="10" t="s">
        <v>458</v>
      </c>
      <c r="I144" s="10" t="s">
        <v>456</v>
      </c>
      <c r="J144" s="10" t="s">
        <v>226</v>
      </c>
      <c r="K144" s="10" t="s">
        <v>209</v>
      </c>
      <c r="L144" t="s">
        <v>208</v>
      </c>
      <c r="M144" s="4">
        <v>8.1999999999999993</v>
      </c>
      <c r="N144" s="4">
        <v>89</v>
      </c>
      <c r="O144" s="4">
        <v>4.0999999999999996</v>
      </c>
      <c r="P144" s="20">
        <f>(M144+(N144/10)+(O144*2))/3</f>
        <v>8.4333333333333336</v>
      </c>
      <c r="Q144" s="20">
        <f>(M144+C144+(N144/10)+(O144*2))/4</f>
        <v>8.151250000000001</v>
      </c>
      <c r="R144" s="20">
        <f>(M144+C144+(N144/10))/3</f>
        <v>8.1349999999999998</v>
      </c>
      <c r="S144" s="27">
        <f>IF(C144 &gt; 9.25, 10, IF(C144 &gt; 6.75, ROUND(C144, 0), MAX(1, FLOOR(C144, 1))))</f>
        <v>7</v>
      </c>
      <c r="T144" s="20">
        <f>S144/2</f>
        <v>3.5</v>
      </c>
      <c r="U144" s="25">
        <v>45723</v>
      </c>
      <c r="V144">
        <v>1</v>
      </c>
      <c r="W144" s="25" t="s">
        <v>758</v>
      </c>
      <c r="X144">
        <v>119</v>
      </c>
      <c r="Y144" t="s">
        <v>911</v>
      </c>
      <c r="Z144" t="s">
        <v>917</v>
      </c>
      <c r="AA144" s="25"/>
    </row>
    <row r="145" spans="1:30" x14ac:dyDescent="0.25">
      <c r="A145" s="4">
        <v>144</v>
      </c>
      <c r="B145" s="4" t="s">
        <v>1058</v>
      </c>
      <c r="C145" s="28">
        <v>7.3040000000000003</v>
      </c>
      <c r="D145" s="4">
        <v>2013</v>
      </c>
      <c r="E145" s="10" t="s">
        <v>530</v>
      </c>
      <c r="F145" s="10" t="s">
        <v>1177</v>
      </c>
      <c r="G145" s="10" t="s">
        <v>422</v>
      </c>
      <c r="H145" s="10" t="s">
        <v>336</v>
      </c>
      <c r="I145" s="10" t="s">
        <v>1059</v>
      </c>
      <c r="J145" s="10" t="s">
        <v>208</v>
      </c>
      <c r="K145" s="10" t="s">
        <v>223</v>
      </c>
      <c r="L145" s="10" t="s">
        <v>951</v>
      </c>
      <c r="M145" s="4">
        <v>7.1</v>
      </c>
      <c r="N145" s="4">
        <v>79</v>
      </c>
      <c r="O145" s="4">
        <v>3.1</v>
      </c>
      <c r="P145" s="20">
        <f>(M145+(N145/10)+(O145*2))/3</f>
        <v>7.0666666666666664</v>
      </c>
      <c r="Q145" s="20">
        <f>(M145+C145+(N145/10)+(O145*2))/4</f>
        <v>7.1260000000000003</v>
      </c>
      <c r="R145" s="20">
        <f>(M145+C145+(N145/10))/3</f>
        <v>7.4346666666666676</v>
      </c>
      <c r="S145" s="27">
        <f>IF(C145 &gt; 9.25, 10, IF(C145 &gt; 6.75, ROUND(C145, 0), MAX(1, FLOOR(C145, 1))))</f>
        <v>7</v>
      </c>
      <c r="T145" s="20">
        <f>S145/2</f>
        <v>3.5</v>
      </c>
      <c r="U145" s="25">
        <v>46130</v>
      </c>
      <c r="V145">
        <v>1</v>
      </c>
      <c r="W145" s="25" t="s">
        <v>758</v>
      </c>
      <c r="X145">
        <v>130</v>
      </c>
      <c r="Y145" t="s">
        <v>911</v>
      </c>
      <c r="Z145" t="s">
        <v>907</v>
      </c>
      <c r="AA145" t="s">
        <v>996</v>
      </c>
      <c r="AB145">
        <v>3</v>
      </c>
    </row>
    <row r="146" spans="1:30" x14ac:dyDescent="0.25">
      <c r="A146" s="4">
        <v>145</v>
      </c>
      <c r="B146" s="4" t="s">
        <v>983</v>
      </c>
      <c r="C146" s="28">
        <v>7.3029999999999999</v>
      </c>
      <c r="D146" s="4">
        <v>2025</v>
      </c>
      <c r="E146" s="10" t="s">
        <v>9</v>
      </c>
      <c r="F146" s="10" t="s">
        <v>526</v>
      </c>
      <c r="G146" s="10" t="s">
        <v>270</v>
      </c>
      <c r="H146" s="10" t="s">
        <v>82</v>
      </c>
      <c r="I146" s="10" t="s">
        <v>368</v>
      </c>
      <c r="J146" s="10" t="s">
        <v>208</v>
      </c>
      <c r="K146" s="10" t="s">
        <v>222</v>
      </c>
      <c r="L146" s="10" t="s">
        <v>217</v>
      </c>
      <c r="M146" s="4">
        <v>7.2</v>
      </c>
      <c r="N146" s="4">
        <v>80</v>
      </c>
      <c r="O146" s="4">
        <v>3.5</v>
      </c>
      <c r="P146" s="20">
        <f>(M146+(N146/10)+(O146*2))/3</f>
        <v>7.3999999999999995</v>
      </c>
      <c r="Q146" s="20">
        <f>(M146+C146+(N146/10)+(O146*2))/4</f>
        <v>7.37575</v>
      </c>
      <c r="R146" s="20">
        <f>(M146+C146+(N146/10))/3</f>
        <v>7.5010000000000003</v>
      </c>
      <c r="S146" s="27">
        <f>IF(C146 &gt; 9.25, 10, IF(C146 &gt; 6.75, ROUND(C146, 0), MAX(1, FLOOR(C146, 1))))</f>
        <v>7</v>
      </c>
      <c r="T146" s="20">
        <f>S146/2</f>
        <v>3.5</v>
      </c>
      <c r="U146" s="25">
        <v>46067</v>
      </c>
      <c r="V146">
        <v>1</v>
      </c>
      <c r="W146" s="25" t="s">
        <v>758</v>
      </c>
      <c r="X146">
        <v>170</v>
      </c>
      <c r="Y146" t="s">
        <v>922</v>
      </c>
      <c r="Z146" t="s">
        <v>914</v>
      </c>
      <c r="AA146" s="25" t="s">
        <v>81</v>
      </c>
      <c r="AB146">
        <v>8</v>
      </c>
    </row>
    <row r="147" spans="1:30" x14ac:dyDescent="0.25">
      <c r="A147" s="4">
        <v>146</v>
      </c>
      <c r="B147" s="4" t="s">
        <v>949</v>
      </c>
      <c r="C147" s="28">
        <v>7.3019999999999996</v>
      </c>
      <c r="D147" s="4">
        <v>2012</v>
      </c>
      <c r="E147" s="10" t="s">
        <v>788</v>
      </c>
      <c r="F147" s="10" t="s">
        <v>950</v>
      </c>
      <c r="G147" s="10" t="s">
        <v>953</v>
      </c>
      <c r="H147" s="10" t="s">
        <v>25</v>
      </c>
      <c r="I147" s="10" t="s">
        <v>952</v>
      </c>
      <c r="J147" s="10" t="s">
        <v>208</v>
      </c>
      <c r="K147" s="10" t="s">
        <v>223</v>
      </c>
      <c r="L147" t="s">
        <v>951</v>
      </c>
      <c r="M147" s="4">
        <v>6.9</v>
      </c>
      <c r="N147" s="4">
        <v>71</v>
      </c>
      <c r="O147" s="4">
        <v>3.5</v>
      </c>
      <c r="P147" s="20">
        <f>(M147+(N147/10)+(O147*2))/3</f>
        <v>7</v>
      </c>
      <c r="Q147" s="20">
        <f>(M147+C147+(N147/10)+(O147*2))/4</f>
        <v>7.0754999999999999</v>
      </c>
      <c r="R147" s="20">
        <f>(M147+C147+(N147/10))/3</f>
        <v>7.1006666666666662</v>
      </c>
      <c r="S147" s="27">
        <f>IF(C147 &gt; 9.25, 10, IF(C147 &gt; 6.75, ROUND(C147, 0), MAX(1, FLOOR(C147, 1))))</f>
        <v>7</v>
      </c>
      <c r="T147" s="20">
        <f>S147/2</f>
        <v>3.5</v>
      </c>
      <c r="U147" s="25">
        <v>46053</v>
      </c>
      <c r="V147">
        <v>1</v>
      </c>
      <c r="W147" s="25" t="s">
        <v>758</v>
      </c>
      <c r="X147">
        <v>136</v>
      </c>
      <c r="Y147" t="s">
        <v>911</v>
      </c>
      <c r="Z147" t="s">
        <v>907</v>
      </c>
      <c r="AA147" s="25" t="s">
        <v>938</v>
      </c>
      <c r="AB147">
        <v>4</v>
      </c>
    </row>
    <row r="148" spans="1:30" x14ac:dyDescent="0.25">
      <c r="A148" s="4">
        <v>147</v>
      </c>
      <c r="B148" s="4" t="s">
        <v>1308</v>
      </c>
      <c r="C148" s="28">
        <v>7.3010000000000002</v>
      </c>
      <c r="D148" s="4">
        <v>2004</v>
      </c>
      <c r="E148" s="10" t="s">
        <v>1310</v>
      </c>
      <c r="F148" s="10" t="s">
        <v>1311</v>
      </c>
      <c r="G148" s="10" t="s">
        <v>1312</v>
      </c>
      <c r="H148" s="10" t="s">
        <v>1313</v>
      </c>
      <c r="I148" s="10" t="s">
        <v>1309</v>
      </c>
      <c r="J148" s="10" t="s">
        <v>219</v>
      </c>
      <c r="K148" s="10" t="s">
        <v>222</v>
      </c>
      <c r="M148" s="4">
        <v>7</v>
      </c>
      <c r="N148" s="4">
        <v>75</v>
      </c>
      <c r="O148" s="4">
        <v>3.4</v>
      </c>
      <c r="P148" s="20">
        <f>(M148+(N148/10)+(O148*2))/3</f>
        <v>7.1000000000000005</v>
      </c>
      <c r="Q148" s="20">
        <f>(M148+C148+(N148/10)+(O148*2))/4</f>
        <v>7.1502500000000007</v>
      </c>
      <c r="R148" s="20">
        <f>(M148+C148+(N148/10))/3</f>
        <v>7.2670000000000003</v>
      </c>
      <c r="S148" s="27">
        <f>IF(C148 &gt; 9.25, 10, IF(C148 &gt; 6.75, ROUND(C148, 0), MAX(1, FLOOR(C148, 1))))</f>
        <v>7</v>
      </c>
      <c r="T148" s="20">
        <f>S148/2</f>
        <v>3.5</v>
      </c>
      <c r="U148" s="25">
        <v>46235</v>
      </c>
      <c r="V148">
        <v>1</v>
      </c>
      <c r="W148" s="25" t="s">
        <v>758</v>
      </c>
      <c r="X148">
        <v>88</v>
      </c>
      <c r="Y148" t="s">
        <v>911</v>
      </c>
      <c r="Z148" t="s">
        <v>907</v>
      </c>
    </row>
    <row r="149" spans="1:30" x14ac:dyDescent="0.25">
      <c r="A149" s="4">
        <v>148</v>
      </c>
      <c r="B149" s="4" t="s">
        <v>1047</v>
      </c>
      <c r="C149" s="28">
        <v>7.2069999999999999</v>
      </c>
      <c r="D149" s="4">
        <v>2013</v>
      </c>
      <c r="E149" s="10" t="s">
        <v>777</v>
      </c>
      <c r="F149" s="10" t="s">
        <v>309</v>
      </c>
      <c r="G149" s="10" t="s">
        <v>330</v>
      </c>
      <c r="H149" s="10" t="s">
        <v>1046</v>
      </c>
      <c r="I149" s="10" t="s">
        <v>1005</v>
      </c>
      <c r="J149" s="10" t="s">
        <v>215</v>
      </c>
      <c r="K149" s="10" t="s">
        <v>216</v>
      </c>
      <c r="L149" s="10" t="s">
        <v>217</v>
      </c>
      <c r="M149" s="4">
        <v>7.2</v>
      </c>
      <c r="N149" s="4">
        <v>51</v>
      </c>
      <c r="O149" s="4">
        <v>3.5</v>
      </c>
      <c r="P149" s="20">
        <f>(M149+(N149/10)+(O149*2))/3</f>
        <v>6.4333333333333336</v>
      </c>
      <c r="Q149" s="20">
        <f>(M149+C149+(N149/10)+(O149*2))/4</f>
        <v>6.6267499999999995</v>
      </c>
      <c r="R149" s="20">
        <f>(M149+C149+(N149/10))/3</f>
        <v>6.5023333333333326</v>
      </c>
      <c r="S149" s="27">
        <f>IF(C149 &gt; 9.25, 10, IF(C149 &gt; 6.75, ROUND(C149, 0), MAX(1, FLOOR(C149, 1))))</f>
        <v>7</v>
      </c>
      <c r="T149" s="20">
        <f>S149/2</f>
        <v>3.5</v>
      </c>
      <c r="U149" s="25">
        <v>46165</v>
      </c>
      <c r="V149">
        <v>1</v>
      </c>
      <c r="W149" s="25" t="s">
        <v>758</v>
      </c>
      <c r="X149">
        <v>115</v>
      </c>
      <c r="Y149" t="s">
        <v>922</v>
      </c>
      <c r="Z149" t="s">
        <v>914</v>
      </c>
      <c r="AA149" t="s">
        <v>1047</v>
      </c>
      <c r="AB149">
        <v>1</v>
      </c>
    </row>
    <row r="150" spans="1:30" x14ac:dyDescent="0.25">
      <c r="A150" s="4">
        <v>149</v>
      </c>
      <c r="B150" s="4" t="s">
        <v>1097</v>
      </c>
      <c r="C150" s="28">
        <v>7.2060000000000004</v>
      </c>
      <c r="D150" s="4">
        <v>2015</v>
      </c>
      <c r="E150" s="10" t="s">
        <v>105</v>
      </c>
      <c r="F150" s="10" t="s">
        <v>1098</v>
      </c>
      <c r="G150" s="10" t="s">
        <v>1099</v>
      </c>
      <c r="H150" s="10" t="s">
        <v>1101</v>
      </c>
      <c r="I150" s="10" t="s">
        <v>1100</v>
      </c>
      <c r="J150" s="10" t="s">
        <v>208</v>
      </c>
      <c r="K150" s="10" t="s">
        <v>223</v>
      </c>
      <c r="L150" s="10" t="s">
        <v>951</v>
      </c>
      <c r="M150" s="4">
        <v>7.2</v>
      </c>
      <c r="N150" s="4">
        <v>83</v>
      </c>
      <c r="O150" s="4">
        <v>3.2</v>
      </c>
      <c r="P150" s="20">
        <f>(M150+(N150/10)+(O150*2))/3</f>
        <v>7.3</v>
      </c>
      <c r="Q150" s="20">
        <f>(M150+C150+(N150/10)+(O150*2))/4</f>
        <v>7.2765000000000004</v>
      </c>
      <c r="R150" s="20">
        <f>(M150+C150+(N150/10))/3</f>
        <v>7.568666666666668</v>
      </c>
      <c r="S150" s="27">
        <f>IF(C150 &gt; 9.25, 10, IF(C150 &gt; 6.75, ROUND(C150, 0), MAX(1, FLOOR(C150, 1))))</f>
        <v>7</v>
      </c>
      <c r="T150" s="20">
        <f>S150/2</f>
        <v>3.5</v>
      </c>
      <c r="U150" s="25">
        <v>46156</v>
      </c>
      <c r="V150">
        <v>1</v>
      </c>
      <c r="W150" s="25" t="s">
        <v>758</v>
      </c>
      <c r="X150">
        <v>117</v>
      </c>
      <c r="Y150" t="s">
        <v>911</v>
      </c>
      <c r="Z150" t="s">
        <v>907</v>
      </c>
      <c r="AA150" t="s">
        <v>1097</v>
      </c>
      <c r="AB150">
        <v>1</v>
      </c>
    </row>
    <row r="151" spans="1:30" s="9" customFormat="1" x14ac:dyDescent="0.25">
      <c r="A151" s="4">
        <v>150</v>
      </c>
      <c r="B151" s="4">
        <v>21</v>
      </c>
      <c r="C151" s="28">
        <v>7.2050000000000001</v>
      </c>
      <c r="D151" s="4">
        <v>2008</v>
      </c>
      <c r="E151" s="10" t="s">
        <v>293</v>
      </c>
      <c r="F151" s="10" t="s">
        <v>294</v>
      </c>
      <c r="G151" s="10" t="s">
        <v>53</v>
      </c>
      <c r="H151" s="10" t="s">
        <v>295</v>
      </c>
      <c r="I151" s="10" t="s">
        <v>106</v>
      </c>
      <c r="J151" s="5" t="s">
        <v>585</v>
      </c>
      <c r="K151" t="s">
        <v>215</v>
      </c>
      <c r="L151" t="s">
        <v>209</v>
      </c>
      <c r="M151" s="4">
        <v>6.8</v>
      </c>
      <c r="N151" s="4">
        <v>35</v>
      </c>
      <c r="O151" s="4">
        <v>3.1</v>
      </c>
      <c r="P151" s="20">
        <f>(M151+(N151/10)+(O151*2))/3</f>
        <v>5.5</v>
      </c>
      <c r="Q151" s="20">
        <f>(M151+C151+(N151/10)+(O151*2))/4</f>
        <v>5.9262499999999996</v>
      </c>
      <c r="R151" s="20">
        <f>(M151+C151+(N151/10))/3</f>
        <v>5.835</v>
      </c>
      <c r="S151" s="27">
        <f>IF(C151 &gt; 9.25, 10, IF(C151 &gt; 6.75, ROUND(C151, 0), MAX(1, FLOOR(C151, 1))))</f>
        <v>7</v>
      </c>
      <c r="T151" s="20">
        <f>S151/2</f>
        <v>3.5</v>
      </c>
      <c r="U151" s="25">
        <v>44739</v>
      </c>
      <c r="V151">
        <v>1</v>
      </c>
      <c r="W151" s="25" t="s">
        <v>758</v>
      </c>
      <c r="X151">
        <v>123</v>
      </c>
      <c r="Y151" t="s">
        <v>911</v>
      </c>
      <c r="Z151" t="s">
        <v>825</v>
      </c>
      <c r="AA151" s="25"/>
      <c r="AB151"/>
      <c r="AC151"/>
      <c r="AD151"/>
    </row>
    <row r="152" spans="1:30" x14ac:dyDescent="0.25">
      <c r="A152" s="4">
        <v>151</v>
      </c>
      <c r="B152" s="4" t="s">
        <v>175</v>
      </c>
      <c r="C152" s="28">
        <v>7.2039999999999997</v>
      </c>
      <c r="D152" s="4">
        <v>2022</v>
      </c>
      <c r="E152" s="10" t="s">
        <v>46</v>
      </c>
      <c r="F152" s="10" t="s">
        <v>178</v>
      </c>
      <c r="G152" s="10" t="s">
        <v>28</v>
      </c>
      <c r="H152" s="10" t="s">
        <v>179</v>
      </c>
      <c r="I152" s="10" t="s">
        <v>180</v>
      </c>
      <c r="J152" s="10" t="s">
        <v>210</v>
      </c>
      <c r="K152" s="10" t="s">
        <v>219</v>
      </c>
      <c r="L152" s="10" t="s">
        <v>209</v>
      </c>
      <c r="M152" s="4">
        <v>7.3</v>
      </c>
      <c r="N152" s="4">
        <v>63</v>
      </c>
      <c r="O152" s="4">
        <v>3.6</v>
      </c>
      <c r="P152" s="20">
        <f>(M152+(N152/10)+(O152*2))/3</f>
        <v>6.9333333333333336</v>
      </c>
      <c r="Q152" s="20">
        <f>(M152+C152+(N152/10)+(O152*2))/4</f>
        <v>7.0009999999999994</v>
      </c>
      <c r="R152" s="20">
        <f>(M152+C152+(N152/10))/3</f>
        <v>6.9346666666666659</v>
      </c>
      <c r="S152" s="27">
        <f>IF(C152 &gt; 9.25, 10, IF(C152 &gt; 6.75, ROUND(C152, 0), MAX(1, FLOOR(C152, 1))))</f>
        <v>7</v>
      </c>
      <c r="T152" s="20">
        <f>S152/2</f>
        <v>3.5</v>
      </c>
      <c r="U152" s="25">
        <v>44737</v>
      </c>
      <c r="V152">
        <v>1</v>
      </c>
      <c r="W152" s="25" t="s">
        <v>758</v>
      </c>
      <c r="X152">
        <v>117</v>
      </c>
      <c r="Y152" t="s">
        <v>911</v>
      </c>
      <c r="Z152" t="s">
        <v>825</v>
      </c>
      <c r="AA152" s="25"/>
    </row>
    <row r="153" spans="1:30" x14ac:dyDescent="0.25">
      <c r="A153" s="4">
        <v>152</v>
      </c>
      <c r="B153" s="4" t="s">
        <v>1000</v>
      </c>
      <c r="C153" s="28">
        <v>7.2030000000000003</v>
      </c>
      <c r="D153" s="4">
        <v>2010</v>
      </c>
      <c r="E153" s="10" t="s">
        <v>530</v>
      </c>
      <c r="F153" s="10" t="s">
        <v>1177</v>
      </c>
      <c r="G153" s="10" t="s">
        <v>1002</v>
      </c>
      <c r="H153" s="10" t="s">
        <v>1001</v>
      </c>
      <c r="I153" s="10" t="s">
        <v>997</v>
      </c>
      <c r="J153" s="10" t="s">
        <v>208</v>
      </c>
      <c r="K153" s="10" t="s">
        <v>223</v>
      </c>
      <c r="L153" t="s">
        <v>951</v>
      </c>
      <c r="M153" s="4">
        <v>6.9</v>
      </c>
      <c r="N153" s="4">
        <v>72</v>
      </c>
      <c r="O153" s="4">
        <v>3</v>
      </c>
      <c r="P153" s="20">
        <f>(M153+(N153/10)+(O153*2))/3</f>
        <v>6.7</v>
      </c>
      <c r="Q153" s="20">
        <f>(M153+C153+(N153/10)+(O153*2))/4</f>
        <v>6.8257500000000002</v>
      </c>
      <c r="R153" s="20">
        <f>(M153+C153+(N153/10))/3</f>
        <v>7.101</v>
      </c>
      <c r="S153" s="27">
        <f>IF(C153 &gt; 9.25, 10, IF(C153 &gt; 6.75, ROUND(C153, 0), MAX(1, FLOOR(C153, 1))))</f>
        <v>7</v>
      </c>
      <c r="T153" s="20">
        <f>S153/2</f>
        <v>3.5</v>
      </c>
      <c r="U153" s="25">
        <v>46071</v>
      </c>
      <c r="V153">
        <v>1</v>
      </c>
      <c r="W153" s="25" t="s">
        <v>758</v>
      </c>
      <c r="X153">
        <v>124</v>
      </c>
      <c r="Y153" t="s">
        <v>911</v>
      </c>
      <c r="Z153" t="s">
        <v>915</v>
      </c>
      <c r="AA153" t="s">
        <v>996</v>
      </c>
      <c r="AB153">
        <v>2</v>
      </c>
    </row>
    <row r="154" spans="1:30" x14ac:dyDescent="0.25">
      <c r="A154" s="4">
        <v>153</v>
      </c>
      <c r="B154" s="4" t="s">
        <v>89</v>
      </c>
      <c r="C154" s="28">
        <v>7.202</v>
      </c>
      <c r="D154" s="4">
        <v>1996</v>
      </c>
      <c r="E154" s="5" t="s">
        <v>9</v>
      </c>
      <c r="F154" s="10" t="s">
        <v>1189</v>
      </c>
      <c r="G154" s="10" t="s">
        <v>277</v>
      </c>
      <c r="H154" s="10" t="s">
        <v>278</v>
      </c>
      <c r="I154" s="10" t="s">
        <v>90</v>
      </c>
      <c r="J154" t="s">
        <v>210</v>
      </c>
      <c r="K154" t="s">
        <v>219</v>
      </c>
      <c r="L154" s="10" t="s">
        <v>221</v>
      </c>
      <c r="M154" s="4">
        <v>7.3</v>
      </c>
      <c r="N154" s="4">
        <v>84</v>
      </c>
      <c r="O154" s="4">
        <v>3.6</v>
      </c>
      <c r="P154" s="20">
        <f>(M154+(N154/10)+(O154*2))/3</f>
        <v>7.6333333333333329</v>
      </c>
      <c r="Q154" s="20">
        <f>(M154+C154+(N154/10)+(O154*2))/4</f>
        <v>7.5255000000000001</v>
      </c>
      <c r="R154" s="20">
        <f>(M154+C154+(N154/10))/3</f>
        <v>7.6340000000000003</v>
      </c>
      <c r="S154" s="27">
        <f>IF(C154 &gt; 9.25, 10, IF(C154 &gt; 6.75, ROUND(C154, 0), MAX(1, FLOOR(C154, 1))))</f>
        <v>7</v>
      </c>
      <c r="T154" s="20">
        <f>S154/2</f>
        <v>3.5</v>
      </c>
      <c r="U154" s="25">
        <v>45056</v>
      </c>
      <c r="V154">
        <v>1</v>
      </c>
      <c r="W154" s="25" t="s">
        <v>758</v>
      </c>
      <c r="X154">
        <v>139</v>
      </c>
      <c r="Y154" t="s">
        <v>911</v>
      </c>
      <c r="Z154" t="s">
        <v>825</v>
      </c>
      <c r="AA154" s="25"/>
    </row>
    <row r="155" spans="1:30" x14ac:dyDescent="0.25">
      <c r="A155" s="4">
        <v>154</v>
      </c>
      <c r="B155" s="4" t="s">
        <v>425</v>
      </c>
      <c r="C155" s="28">
        <v>7.2009999999999996</v>
      </c>
      <c r="D155" s="4">
        <v>1997</v>
      </c>
      <c r="E155" s="10" t="s">
        <v>41</v>
      </c>
      <c r="F155" s="10" t="s">
        <v>426</v>
      </c>
      <c r="G155" s="10" t="s">
        <v>399</v>
      </c>
      <c r="H155" s="10" t="s">
        <v>427</v>
      </c>
      <c r="I155" s="10" t="s">
        <v>428</v>
      </c>
      <c r="J155" s="10" t="s">
        <v>215</v>
      </c>
      <c r="K155" s="10" t="s">
        <v>209</v>
      </c>
      <c r="L155" s="10" t="s">
        <v>672</v>
      </c>
      <c r="M155" s="4">
        <v>7.7</v>
      </c>
      <c r="N155" s="4">
        <v>88</v>
      </c>
      <c r="O155" s="4">
        <v>3.8</v>
      </c>
      <c r="P155" s="20">
        <f>(M155+(N155/10)+(O155*2))/3</f>
        <v>8.0333333333333332</v>
      </c>
      <c r="Q155" s="20">
        <f>(M155+C155+(N155/10)+(O155*2))/4</f>
        <v>7.8252500000000005</v>
      </c>
      <c r="R155" s="20">
        <f>(M155+C155+(N155/10))/3</f>
        <v>7.9003333333333332</v>
      </c>
      <c r="S155" s="27">
        <f>IF(C155 &gt; 9.25, 10, IF(C155 &gt; 6.75, ROUND(C155, 0), MAX(1, FLOOR(C155, 1))))</f>
        <v>7</v>
      </c>
      <c r="T155" s="20">
        <f>S155/2</f>
        <v>3.5</v>
      </c>
      <c r="U155" s="25">
        <v>45106</v>
      </c>
      <c r="V155">
        <v>1</v>
      </c>
      <c r="W155" s="25" t="s">
        <v>758</v>
      </c>
      <c r="X155">
        <v>127</v>
      </c>
      <c r="Y155" t="s">
        <v>911</v>
      </c>
      <c r="Z155" t="s">
        <v>825</v>
      </c>
      <c r="AA155" s="25"/>
    </row>
    <row r="156" spans="1:30" x14ac:dyDescent="0.25">
      <c r="A156" s="4">
        <v>155</v>
      </c>
      <c r="B156" s="4" t="s">
        <v>1034</v>
      </c>
      <c r="C156" s="28">
        <v>7.1059999999999999</v>
      </c>
      <c r="D156" s="4">
        <v>2016</v>
      </c>
      <c r="E156" s="10" t="s">
        <v>576</v>
      </c>
      <c r="F156" s="10" t="s">
        <v>950</v>
      </c>
      <c r="G156" s="10" t="s">
        <v>1035</v>
      </c>
      <c r="H156" s="10" t="s">
        <v>1192</v>
      </c>
      <c r="I156" s="10" t="s">
        <v>246</v>
      </c>
      <c r="J156" s="10" t="s">
        <v>1036</v>
      </c>
      <c r="K156" s="10" t="s">
        <v>221</v>
      </c>
      <c r="L156" s="10" t="s">
        <v>209</v>
      </c>
      <c r="M156" s="4">
        <v>8</v>
      </c>
      <c r="N156" s="4">
        <v>91</v>
      </c>
      <c r="O156" s="4">
        <v>4.0999999999999996</v>
      </c>
      <c r="P156" s="20">
        <f>(M156+(N156/10)+(O156*2))/3</f>
        <v>8.4333333333333336</v>
      </c>
      <c r="Q156" s="20">
        <f>(M156+C156+(N156/10)+(O156*2))/4</f>
        <v>8.1014999999999997</v>
      </c>
      <c r="R156" s="20">
        <f>(M156+C156+(N156/10))/3</f>
        <v>8.0686666666666671</v>
      </c>
      <c r="S156" s="27">
        <f>IF(C156 &gt; 9.25, 10, IF(C156 &gt; 6.75, ROUND(C156, 0), MAX(1, FLOOR(C156, 1))))</f>
        <v>7</v>
      </c>
      <c r="T156" s="20">
        <f>S156/2</f>
        <v>3.5</v>
      </c>
      <c r="U156" s="25">
        <v>46109</v>
      </c>
      <c r="V156">
        <v>1</v>
      </c>
      <c r="W156" s="25" t="s">
        <v>758</v>
      </c>
      <c r="X156">
        <v>128</v>
      </c>
      <c r="Y156" t="s">
        <v>922</v>
      </c>
      <c r="Z156" t="s">
        <v>914</v>
      </c>
    </row>
    <row r="157" spans="1:30" x14ac:dyDescent="0.25">
      <c r="A157" s="4">
        <v>156</v>
      </c>
      <c r="B157" s="4" t="s">
        <v>1042</v>
      </c>
      <c r="C157" s="28">
        <v>7.1050000000000004</v>
      </c>
      <c r="D157" s="4">
        <v>2025</v>
      </c>
      <c r="E157" s="10" t="s">
        <v>777</v>
      </c>
      <c r="F157" s="10" t="s">
        <v>330</v>
      </c>
      <c r="G157" s="10" t="s">
        <v>1044</v>
      </c>
      <c r="H157" s="10" t="s">
        <v>1046</v>
      </c>
      <c r="I157" s="10" t="s">
        <v>1043</v>
      </c>
      <c r="J157" s="10" t="s">
        <v>217</v>
      </c>
      <c r="K157" s="10" t="s">
        <v>215</v>
      </c>
      <c r="L157" s="10" t="s">
        <v>1045</v>
      </c>
      <c r="M157" s="4">
        <v>5.9</v>
      </c>
      <c r="N157" s="4">
        <v>60</v>
      </c>
      <c r="O157" s="4">
        <v>3</v>
      </c>
      <c r="P157" s="20">
        <f>(M157+(N157/10)+(O157*2))/3</f>
        <v>5.9666666666666659</v>
      </c>
      <c r="Q157" s="20">
        <f>(M157+C157+(N157/10)+(O157*2))/4</f>
        <v>6.2512500000000006</v>
      </c>
      <c r="R157" s="20">
        <f>(M157+C157+(N157/10))/3</f>
        <v>6.3350000000000009</v>
      </c>
      <c r="S157" s="27">
        <f>IF(C157 &gt; 9.25, 10, IF(C157 &gt; 6.75, ROUND(C157, 0), MAX(1, FLOOR(C157, 1))))</f>
        <v>7</v>
      </c>
      <c r="T157" s="20">
        <f>S157/2</f>
        <v>3.5</v>
      </c>
      <c r="U157" s="25">
        <v>46122</v>
      </c>
      <c r="V157">
        <v>1</v>
      </c>
      <c r="W157" s="25" t="s">
        <v>758</v>
      </c>
      <c r="X157">
        <v>113</v>
      </c>
      <c r="Y157" t="s">
        <v>922</v>
      </c>
      <c r="Z157" t="s">
        <v>914</v>
      </c>
      <c r="AA157" t="s">
        <v>1047</v>
      </c>
      <c r="AB157">
        <v>3</v>
      </c>
    </row>
    <row r="158" spans="1:30" x14ac:dyDescent="0.25">
      <c r="A158" s="4">
        <v>157</v>
      </c>
      <c r="B158" s="4" t="s">
        <v>748</v>
      </c>
      <c r="C158" s="28">
        <v>7.1040000000000001</v>
      </c>
      <c r="D158" s="4">
        <v>2004</v>
      </c>
      <c r="E158" s="5" t="s">
        <v>91</v>
      </c>
      <c r="F158" s="10" t="s">
        <v>92</v>
      </c>
      <c r="G158" s="10" t="s">
        <v>258</v>
      </c>
      <c r="H158" s="10" t="s">
        <v>259</v>
      </c>
      <c r="I158" s="10" t="s">
        <v>134</v>
      </c>
      <c r="J158" s="5" t="s">
        <v>219</v>
      </c>
      <c r="K158" s="5" t="s">
        <v>210</v>
      </c>
      <c r="L158" s="5"/>
      <c r="M158" s="4">
        <v>6.7</v>
      </c>
      <c r="N158" s="4">
        <v>71</v>
      </c>
      <c r="O158" s="4">
        <v>3.2</v>
      </c>
      <c r="P158" s="20">
        <f>(M158+(N158/10)+(O158*2))/3</f>
        <v>6.7333333333333343</v>
      </c>
      <c r="Q158" s="20">
        <f>(M158+C158+(N158/10)+(O158*2))/4</f>
        <v>6.8260000000000005</v>
      </c>
      <c r="R158" s="20">
        <f>(M158+C158+(N158/10))/3</f>
        <v>6.968</v>
      </c>
      <c r="S158" s="27">
        <f>IF(C158 &gt; 9.25, 10, IF(C158 &gt; 6.75, ROUND(C158, 0), MAX(1, FLOOR(C158, 1))))</f>
        <v>7</v>
      </c>
      <c r="T158" s="20">
        <f>S158/2</f>
        <v>3.5</v>
      </c>
      <c r="U158" s="25">
        <v>44722</v>
      </c>
      <c r="V158">
        <v>1</v>
      </c>
      <c r="W158" s="25" t="s">
        <v>758</v>
      </c>
      <c r="X158">
        <v>92</v>
      </c>
      <c r="Y158" t="s">
        <v>911</v>
      </c>
      <c r="Z158" t="s">
        <v>825</v>
      </c>
      <c r="AA158" s="25"/>
    </row>
    <row r="159" spans="1:30" x14ac:dyDescent="0.25">
      <c r="A159" s="4">
        <v>158</v>
      </c>
      <c r="B159" s="4" t="s">
        <v>1055</v>
      </c>
      <c r="C159" s="28">
        <v>7.1029999999999998</v>
      </c>
      <c r="D159" s="4">
        <v>2022</v>
      </c>
      <c r="E159" s="10" t="s">
        <v>576</v>
      </c>
      <c r="F159" s="10" t="s">
        <v>985</v>
      </c>
      <c r="G159" s="10" t="s">
        <v>578</v>
      </c>
      <c r="H159" s="10" t="s">
        <v>1057</v>
      </c>
      <c r="I159" s="10" t="s">
        <v>1056</v>
      </c>
      <c r="J159" t="s">
        <v>217</v>
      </c>
      <c r="K159" s="10" t="s">
        <v>216</v>
      </c>
      <c r="L159" s="10" t="s">
        <v>208</v>
      </c>
      <c r="M159" s="4">
        <v>6.5</v>
      </c>
      <c r="N159" s="4">
        <v>45</v>
      </c>
      <c r="O159" s="4">
        <v>2.8</v>
      </c>
      <c r="P159" s="20">
        <f>(M159+(N159/10)+(O159*2))/3</f>
        <v>5.5333333333333341</v>
      </c>
      <c r="Q159" s="20">
        <f>(M159+C159+(N159/10)+(O159*2))/4</f>
        <v>5.9257500000000007</v>
      </c>
      <c r="R159" s="20">
        <f>(M159+C159+(N159/10))/3</f>
        <v>6.0343333333333335</v>
      </c>
      <c r="S159" s="27">
        <f>IF(C159 &gt; 9.25, 10, IF(C159 &gt; 6.75, ROUND(C159, 0), MAX(1, FLOOR(C159, 1))))</f>
        <v>7</v>
      </c>
      <c r="T159" s="20">
        <f>S159/2</f>
        <v>3.5</v>
      </c>
      <c r="U159" s="25">
        <v>46128</v>
      </c>
      <c r="V159">
        <v>1</v>
      </c>
      <c r="W159" s="25" t="s">
        <v>758</v>
      </c>
      <c r="X159">
        <v>128</v>
      </c>
      <c r="Y159" t="s">
        <v>911</v>
      </c>
      <c r="Z159" t="s">
        <v>917</v>
      </c>
    </row>
    <row r="160" spans="1:30" x14ac:dyDescent="0.25">
      <c r="A160" s="4">
        <v>159</v>
      </c>
      <c r="B160" s="4" t="s">
        <v>965</v>
      </c>
      <c r="C160" s="28">
        <v>7.1020000000000003</v>
      </c>
      <c r="D160" s="4">
        <v>2019</v>
      </c>
      <c r="E160" s="10" t="s">
        <v>957</v>
      </c>
      <c r="F160" s="10" t="s">
        <v>752</v>
      </c>
      <c r="G160" s="10" t="s">
        <v>966</v>
      </c>
      <c r="H160" s="10" t="s">
        <v>59</v>
      </c>
      <c r="I160" s="10" t="s">
        <v>959</v>
      </c>
      <c r="J160" s="10" t="s">
        <v>208</v>
      </c>
      <c r="K160" s="10" t="s">
        <v>223</v>
      </c>
      <c r="L160" t="s">
        <v>951</v>
      </c>
      <c r="M160" s="4">
        <v>7.3</v>
      </c>
      <c r="N160" s="4">
        <v>91</v>
      </c>
      <c r="O160" s="4">
        <v>3.4</v>
      </c>
      <c r="P160" s="20">
        <f>(M160+(N160/10)+(O160*2))/3</f>
        <v>7.7333333333333334</v>
      </c>
      <c r="Q160" s="20">
        <f>(M160+C160+(N160/10)+(O160*2))/4</f>
        <v>7.5755000000000008</v>
      </c>
      <c r="R160" s="20">
        <f>(M160+C160+(N160/10))/3</f>
        <v>7.8340000000000005</v>
      </c>
      <c r="S160" s="27">
        <f>IF(C160 &gt; 9.25, 10, IF(C160 &gt; 6.75, ROUND(C160, 0), MAX(1, FLOOR(C160, 1))))</f>
        <v>7</v>
      </c>
      <c r="T160" s="20">
        <f>S160/2</f>
        <v>3.5</v>
      </c>
      <c r="U160" s="25">
        <v>46202</v>
      </c>
      <c r="V160">
        <v>2</v>
      </c>
      <c r="W160" s="25" t="s">
        <v>758</v>
      </c>
      <c r="X160">
        <v>130</v>
      </c>
      <c r="Y160" t="s">
        <v>911</v>
      </c>
      <c r="Z160" t="s">
        <v>907</v>
      </c>
      <c r="AA160" s="25" t="s">
        <v>938</v>
      </c>
      <c r="AB160">
        <v>7</v>
      </c>
    </row>
    <row r="161" spans="1:28" x14ac:dyDescent="0.25">
      <c r="A161" s="4">
        <v>160</v>
      </c>
      <c r="B161" s="4" t="s">
        <v>1071</v>
      </c>
      <c r="C161" s="28">
        <v>7.101</v>
      </c>
      <c r="D161" s="4">
        <v>2014</v>
      </c>
      <c r="E161" s="10" t="s">
        <v>513</v>
      </c>
      <c r="F161" s="10" t="s">
        <v>1072</v>
      </c>
      <c r="G161" s="10" t="s">
        <v>1073</v>
      </c>
      <c r="H161" s="10" t="s">
        <v>151</v>
      </c>
      <c r="I161" s="10" t="s">
        <v>1074</v>
      </c>
      <c r="J161" s="10" t="s">
        <v>208</v>
      </c>
      <c r="K161" s="10" t="s">
        <v>223</v>
      </c>
      <c r="L161" s="10" t="s">
        <v>951</v>
      </c>
      <c r="M161" s="4">
        <v>8</v>
      </c>
      <c r="N161" s="4">
        <v>91</v>
      </c>
      <c r="O161" s="4">
        <v>3.8</v>
      </c>
      <c r="P161" s="20">
        <f>(M161+(N161/10)+(O161*2))/3</f>
        <v>8.2333333333333343</v>
      </c>
      <c r="Q161" s="20">
        <f>(M161+C161+(N161/10)+(O161*2))/4</f>
        <v>7.9502500000000005</v>
      </c>
      <c r="R161" s="20">
        <f>(M161+C161+(N161/10))/3</f>
        <v>8.0670000000000002</v>
      </c>
      <c r="S161" s="27">
        <f>IF(C161 &gt; 9.25, 10, IF(C161 &gt; 6.75, ROUND(C161, 0), MAX(1, FLOOR(C161, 1))))</f>
        <v>7</v>
      </c>
      <c r="T161" s="20">
        <f>S161/2</f>
        <v>3.5</v>
      </c>
      <c r="U161" s="25">
        <v>46137</v>
      </c>
      <c r="V161">
        <v>1</v>
      </c>
      <c r="W161" s="25" t="s">
        <v>758</v>
      </c>
      <c r="X161">
        <v>122</v>
      </c>
      <c r="Y161" t="s">
        <v>911</v>
      </c>
      <c r="Z161" t="s">
        <v>907</v>
      </c>
      <c r="AA161" t="s">
        <v>1071</v>
      </c>
      <c r="AB161">
        <v>1</v>
      </c>
    </row>
    <row r="162" spans="1:28" x14ac:dyDescent="0.25">
      <c r="A162" s="4">
        <v>161</v>
      </c>
      <c r="B162" s="4" t="s">
        <v>171</v>
      </c>
      <c r="C162" s="28">
        <v>7.0060000000000002</v>
      </c>
      <c r="D162" s="4">
        <v>1996</v>
      </c>
      <c r="E162" s="10" t="s">
        <v>172</v>
      </c>
      <c r="F162" s="10" t="s">
        <v>174</v>
      </c>
      <c r="G162" s="10" t="s">
        <v>264</v>
      </c>
      <c r="H162" s="10" t="s">
        <v>265</v>
      </c>
      <c r="I162" s="10" t="s">
        <v>173</v>
      </c>
      <c r="J162" s="10" t="s">
        <v>210</v>
      </c>
      <c r="K162" s="10" t="s">
        <v>224</v>
      </c>
      <c r="L162" s="10" t="s">
        <v>222</v>
      </c>
      <c r="M162" s="4">
        <v>6.5</v>
      </c>
      <c r="N162" s="4">
        <v>43</v>
      </c>
      <c r="O162" s="4">
        <v>3.3</v>
      </c>
      <c r="P162" s="20">
        <f>(M162+(N162/10)+(O162*2))/3</f>
        <v>5.8</v>
      </c>
      <c r="Q162" s="20">
        <f>(M162+C162+(N162/10)+(O162*2))/4</f>
        <v>6.1014999999999997</v>
      </c>
      <c r="R162" s="20">
        <f>(M162+C162+(N162/10))/3</f>
        <v>5.9353333333333333</v>
      </c>
      <c r="S162" s="27">
        <f>IF(C162 &gt; 9.25, 10, IF(C162 &gt; 6.75, ROUND(C162, 0), MAX(1, FLOOR(C162, 1))))</f>
        <v>7</v>
      </c>
      <c r="T162" s="20">
        <f>S162/2</f>
        <v>3.5</v>
      </c>
      <c r="U162" s="25">
        <v>45718</v>
      </c>
      <c r="V162">
        <v>1</v>
      </c>
      <c r="W162" s="25" t="s">
        <v>758</v>
      </c>
      <c r="X162">
        <v>88</v>
      </c>
      <c r="Y162" t="s">
        <v>911</v>
      </c>
      <c r="Z162" t="s">
        <v>825</v>
      </c>
      <c r="AA162" s="25"/>
    </row>
    <row r="163" spans="1:28" x14ac:dyDescent="0.25">
      <c r="A163" s="4">
        <v>162</v>
      </c>
      <c r="B163" s="4" t="s">
        <v>1284</v>
      </c>
      <c r="C163" s="28">
        <v>7.0049999999999999</v>
      </c>
      <c r="D163" s="4">
        <v>2025</v>
      </c>
      <c r="E163" s="10" t="s">
        <v>844</v>
      </c>
      <c r="F163" s="10" t="s">
        <v>503</v>
      </c>
      <c r="G163" s="10" t="s">
        <v>1081</v>
      </c>
      <c r="H163" s="10" t="s">
        <v>1286</v>
      </c>
      <c r="I163" s="10" t="s">
        <v>1285</v>
      </c>
      <c r="J163" s="10" t="s">
        <v>208</v>
      </c>
      <c r="K163" s="10" t="s">
        <v>223</v>
      </c>
      <c r="L163" s="10" t="s">
        <v>951</v>
      </c>
      <c r="M163" s="4">
        <v>6.8</v>
      </c>
      <c r="N163" s="4">
        <v>86</v>
      </c>
      <c r="O163" s="4">
        <v>3.3</v>
      </c>
      <c r="P163" s="20">
        <f>(M163+(N163/10)+(O163*2))/3</f>
        <v>7.333333333333333</v>
      </c>
      <c r="Q163" s="20">
        <f>(M163+C163+(N163/10)+(O163*2))/4</f>
        <v>7.2512500000000006</v>
      </c>
      <c r="R163" s="20">
        <f>(M163+C163+(N163/10))/3</f>
        <v>7.4683333333333337</v>
      </c>
      <c r="S163" s="27">
        <f>IF(C163 &gt; 9.25, 10, IF(C163 &gt; 6.75, ROUND(C163, 0), MAX(1, FLOOR(C163, 1))))</f>
        <v>7</v>
      </c>
      <c r="T163" s="20">
        <f>S163/2</f>
        <v>3.5</v>
      </c>
      <c r="U163" s="25">
        <v>46223</v>
      </c>
      <c r="V163">
        <v>1</v>
      </c>
      <c r="W163" s="25" t="s">
        <v>758</v>
      </c>
      <c r="X163">
        <v>115</v>
      </c>
      <c r="Y163" t="s">
        <v>911</v>
      </c>
      <c r="Z163" t="s">
        <v>907</v>
      </c>
      <c r="AA163" t="s">
        <v>1126</v>
      </c>
      <c r="AB163">
        <v>50</v>
      </c>
    </row>
    <row r="164" spans="1:28" x14ac:dyDescent="0.25">
      <c r="A164" s="4">
        <v>163</v>
      </c>
      <c r="B164" s="4" t="s">
        <v>714</v>
      </c>
      <c r="C164" s="28">
        <v>7.0039999999999996</v>
      </c>
      <c r="D164" s="4">
        <v>2000</v>
      </c>
      <c r="E164" s="10" t="s">
        <v>422</v>
      </c>
      <c r="F164" s="10" t="s">
        <v>809</v>
      </c>
      <c r="G164" s="10" t="s">
        <v>810</v>
      </c>
      <c r="H164" s="10" t="s">
        <v>855</v>
      </c>
      <c r="I164" s="10" t="s">
        <v>38</v>
      </c>
      <c r="J164" s="10" t="s">
        <v>217</v>
      </c>
      <c r="K164" s="10" t="s">
        <v>216</v>
      </c>
      <c r="M164" s="4">
        <v>8.4</v>
      </c>
      <c r="N164" s="4">
        <v>94</v>
      </c>
      <c r="O164" s="4">
        <v>4.2</v>
      </c>
      <c r="P164" s="20">
        <f>(M164+(N164/10)+(O164*2))/3</f>
        <v>8.7333333333333343</v>
      </c>
      <c r="Q164" s="20">
        <f>(M164+C164+(N164/10)+(O164*2))/4</f>
        <v>8.3010000000000002</v>
      </c>
      <c r="R164" s="20">
        <f>(M164+C164+(N164/10))/3</f>
        <v>8.2680000000000007</v>
      </c>
      <c r="S164" s="27">
        <f>IF(C164 &gt; 9.25, 10, IF(C164 &gt; 6.75, ROUND(C164, 0), MAX(1, FLOOR(C164, 1))))</f>
        <v>7</v>
      </c>
      <c r="T164" s="20">
        <f>S164/2</f>
        <v>3.5</v>
      </c>
      <c r="U164" s="25">
        <v>45838</v>
      </c>
      <c r="V164">
        <v>1</v>
      </c>
      <c r="W164" s="25" t="s">
        <v>758</v>
      </c>
      <c r="X164">
        <v>116</v>
      </c>
      <c r="Y164" t="s">
        <v>911</v>
      </c>
      <c r="Z164" t="s">
        <v>907</v>
      </c>
      <c r="AA164" s="25"/>
    </row>
    <row r="165" spans="1:28" x14ac:dyDescent="0.25">
      <c r="A165" s="4">
        <v>164</v>
      </c>
      <c r="B165" s="4" t="s">
        <v>903</v>
      </c>
      <c r="C165" s="28">
        <v>7.0030000000000001</v>
      </c>
      <c r="D165" s="4">
        <v>2025</v>
      </c>
      <c r="E165" s="5" t="s">
        <v>557</v>
      </c>
      <c r="F165" s="10" t="s">
        <v>1177</v>
      </c>
      <c r="G165" s="10" t="s">
        <v>904</v>
      </c>
      <c r="H165" s="10" t="s">
        <v>905</v>
      </c>
      <c r="I165" s="10" t="s">
        <v>818</v>
      </c>
      <c r="J165" s="10" t="s">
        <v>210</v>
      </c>
      <c r="K165" s="10" t="s">
        <v>209</v>
      </c>
      <c r="L165" s="10" t="s">
        <v>670</v>
      </c>
      <c r="M165" s="4">
        <v>8.1999999999999993</v>
      </c>
      <c r="N165" s="4">
        <v>93</v>
      </c>
      <c r="O165" s="4">
        <v>4.3</v>
      </c>
      <c r="P165" s="20">
        <f>(M165+(N165/10)+(O165*2))/3</f>
        <v>8.7000000000000011</v>
      </c>
      <c r="Q165" s="20">
        <f>(M165+C165+(N165/10)+(O165*2))/4</f>
        <v>8.2757500000000004</v>
      </c>
      <c r="R165" s="20">
        <f>(M165+C165+(N165/10))/3</f>
        <v>8.1676666666666673</v>
      </c>
      <c r="S165" s="27">
        <f>IF(C165 &gt; 9.25, 10, IF(C165 &gt; 6.75, ROUND(C165, 0), MAX(1, FLOOR(C165, 1))))</f>
        <v>7</v>
      </c>
      <c r="T165" s="20">
        <f>S165/2</f>
        <v>3.5</v>
      </c>
      <c r="U165" s="25">
        <v>46038</v>
      </c>
      <c r="V165">
        <v>1</v>
      </c>
      <c r="W165" s="25" t="s">
        <v>758</v>
      </c>
      <c r="X165">
        <v>149</v>
      </c>
      <c r="Y165" t="s">
        <v>916</v>
      </c>
      <c r="Z165" t="s">
        <v>902</v>
      </c>
      <c r="AA165" s="25"/>
    </row>
    <row r="166" spans="1:28" x14ac:dyDescent="0.25">
      <c r="A166" s="4">
        <v>165</v>
      </c>
      <c r="B166" s="4" t="s">
        <v>1158</v>
      </c>
      <c r="C166" s="28">
        <v>7.0019999999999998</v>
      </c>
      <c r="D166" s="4">
        <v>1982</v>
      </c>
      <c r="E166" s="10" t="s">
        <v>1151</v>
      </c>
      <c r="F166" s="10" t="s">
        <v>1152</v>
      </c>
      <c r="G166" s="10" t="s">
        <v>1156</v>
      </c>
      <c r="H166" s="10" t="s">
        <v>1159</v>
      </c>
      <c r="I166" s="10" t="s">
        <v>1151</v>
      </c>
      <c r="J166" s="10" t="s">
        <v>210</v>
      </c>
      <c r="K166" s="10" t="s">
        <v>209</v>
      </c>
      <c r="L166" s="10" t="s">
        <v>1155</v>
      </c>
      <c r="M166" s="4">
        <v>6.9</v>
      </c>
      <c r="N166" s="4">
        <v>65</v>
      </c>
      <c r="O166" s="4">
        <v>3.6</v>
      </c>
      <c r="P166" s="20">
        <f>(M166+(N166/10)+(O166*2))/3</f>
        <v>6.8666666666666671</v>
      </c>
      <c r="Q166" s="20">
        <f>(M166+C166+(N166/10)+(O166*2))/4</f>
        <v>6.9005000000000001</v>
      </c>
      <c r="R166" s="20">
        <f>(M166+C166+(N166/10))/3</f>
        <v>6.8006666666666673</v>
      </c>
      <c r="S166" s="27">
        <f>IF(C166 &gt; 9.25, 10, IF(C166 &gt; 6.75, ROUND(C166, 0), MAX(1, FLOOR(C166, 1))))</f>
        <v>7</v>
      </c>
      <c r="T166" s="20">
        <f>S166/2</f>
        <v>3.5</v>
      </c>
      <c r="U166" s="25">
        <v>46191</v>
      </c>
      <c r="V166">
        <v>1</v>
      </c>
      <c r="W166" s="25" t="s">
        <v>758</v>
      </c>
      <c r="X166">
        <v>100</v>
      </c>
      <c r="Y166" t="s">
        <v>911</v>
      </c>
      <c r="Z166" t="s">
        <v>907</v>
      </c>
      <c r="AA166" t="s">
        <v>1150</v>
      </c>
      <c r="AB166">
        <v>3</v>
      </c>
    </row>
    <row r="167" spans="1:28" x14ac:dyDescent="0.25">
      <c r="A167" s="4">
        <v>166</v>
      </c>
      <c r="B167" s="4" t="s">
        <v>1116</v>
      </c>
      <c r="C167" s="28">
        <v>7.0010000000000003</v>
      </c>
      <c r="D167" s="4">
        <v>2016</v>
      </c>
      <c r="E167" s="10" t="s">
        <v>777</v>
      </c>
      <c r="F167" s="10" t="s">
        <v>309</v>
      </c>
      <c r="G167" s="10" t="s">
        <v>330</v>
      </c>
      <c r="H167" s="10" t="s">
        <v>1044</v>
      </c>
      <c r="I167" s="10" t="s">
        <v>1117</v>
      </c>
      <c r="J167" s="10" t="s">
        <v>215</v>
      </c>
      <c r="K167" s="10" t="s">
        <v>216</v>
      </c>
      <c r="L167" s="10" t="s">
        <v>217</v>
      </c>
      <c r="M167" s="4">
        <v>6.4</v>
      </c>
      <c r="N167" s="4">
        <v>34</v>
      </c>
      <c r="O167" s="4">
        <v>3.1</v>
      </c>
      <c r="P167" s="20">
        <f>(M167+(N167/10)+(O167*2))/3</f>
        <v>5.333333333333333</v>
      </c>
      <c r="Q167" s="20">
        <f>(M167+C167+(N167/10)+(O167*2))/4</f>
        <v>5.7502499999999994</v>
      </c>
      <c r="R167" s="20">
        <f>(M167+C167+(N167/10))/3</f>
        <v>5.6003333333333325</v>
      </c>
      <c r="S167" s="27">
        <f>IF(C167 &gt; 9.25, 10, IF(C167 &gt; 6.75, ROUND(C167, 0), MAX(1, FLOOR(C167, 1))))</f>
        <v>7</v>
      </c>
      <c r="T167" s="20">
        <f>S167/2</f>
        <v>3.5</v>
      </c>
      <c r="U167" s="25">
        <v>46165</v>
      </c>
      <c r="V167">
        <v>1</v>
      </c>
      <c r="W167" s="25" t="s">
        <v>758</v>
      </c>
      <c r="X167">
        <v>129</v>
      </c>
      <c r="Y167" t="s">
        <v>922</v>
      </c>
      <c r="Z167" t="s">
        <v>914</v>
      </c>
      <c r="AA167" t="s">
        <v>1047</v>
      </c>
      <c r="AB167">
        <v>2</v>
      </c>
    </row>
    <row r="168" spans="1:28" x14ac:dyDescent="0.25">
      <c r="A168" s="4">
        <v>167</v>
      </c>
      <c r="B168" s="4" t="s">
        <v>69</v>
      </c>
      <c r="C168" s="28">
        <v>6.9059999999999997</v>
      </c>
      <c r="D168" s="4">
        <v>2007</v>
      </c>
      <c r="E168" s="5" t="s">
        <v>70</v>
      </c>
      <c r="F168" s="10" t="s">
        <v>182</v>
      </c>
      <c r="G168" s="10" t="s">
        <v>282</v>
      </c>
      <c r="H168" s="10" t="s">
        <v>242</v>
      </c>
      <c r="I168" s="10" t="s">
        <v>183</v>
      </c>
      <c r="J168" s="10" t="s">
        <v>219</v>
      </c>
      <c r="K168" s="10" t="s">
        <v>209</v>
      </c>
      <c r="M168" s="4">
        <v>7.6</v>
      </c>
      <c r="N168" s="4">
        <v>88</v>
      </c>
      <c r="O168" s="4">
        <v>4.2</v>
      </c>
      <c r="P168" s="20">
        <f>(M168+(N168/10)+(O168*2))/3</f>
        <v>8.2666666666666657</v>
      </c>
      <c r="Q168" s="20">
        <f>(M168+C168+(N168/10)+(O168*2))/4</f>
        <v>7.9265000000000008</v>
      </c>
      <c r="R168" s="20">
        <f>(M168+C168+(N168/10))/3</f>
        <v>7.7686666666666673</v>
      </c>
      <c r="S168" s="27">
        <f>IF(C168 &gt; 9.25, 10, IF(C168 &gt; 6.75, ROUND(C168, 0), MAX(1, FLOOR(C168, 1))))</f>
        <v>7</v>
      </c>
      <c r="T168" s="20">
        <f>S168/2</f>
        <v>3.5</v>
      </c>
      <c r="U168" s="25">
        <v>44433</v>
      </c>
      <c r="V168">
        <v>1</v>
      </c>
      <c r="W168" s="25" t="s">
        <v>758</v>
      </c>
      <c r="X168">
        <v>113</v>
      </c>
      <c r="Y168" t="s">
        <v>911</v>
      </c>
      <c r="Z168" t="s">
        <v>825</v>
      </c>
      <c r="AA168" s="25"/>
    </row>
    <row r="169" spans="1:28" x14ac:dyDescent="0.25">
      <c r="A169" s="4">
        <v>168</v>
      </c>
      <c r="B169" s="4" t="s">
        <v>1330</v>
      </c>
      <c r="C169" s="28">
        <v>6.9050000000000002</v>
      </c>
      <c r="D169" s="4">
        <v>2014</v>
      </c>
      <c r="E169" s="10" t="s">
        <v>1241</v>
      </c>
      <c r="F169" s="10" t="s">
        <v>1326</v>
      </c>
      <c r="G169" s="10" t="s">
        <v>1327</v>
      </c>
      <c r="H169" s="10" t="s">
        <v>1328</v>
      </c>
      <c r="I169" s="10" t="s">
        <v>702</v>
      </c>
      <c r="J169" s="10" t="s">
        <v>208</v>
      </c>
      <c r="K169" s="10" t="s">
        <v>223</v>
      </c>
      <c r="L169" s="10" t="s">
        <v>951</v>
      </c>
      <c r="M169" s="4">
        <v>7.9</v>
      </c>
      <c r="N169" s="4">
        <v>90</v>
      </c>
      <c r="O169" s="4">
        <v>3.7</v>
      </c>
      <c r="P169" s="20">
        <f>(M169+(N169/10)+(O169*2))/3</f>
        <v>8.1</v>
      </c>
      <c r="Q169" s="20">
        <f>(M169+C169+(N169/10)+(O169*2))/4</f>
        <v>7.8012499999999996</v>
      </c>
      <c r="R169" s="20">
        <f>(M169+C169+(N169/10))/3</f>
        <v>7.9349999999999996</v>
      </c>
      <c r="S169" s="27">
        <f>IF(C169 &gt; 9.25, 10, IF(C169 &gt; 6.75, ROUND(C169, 0), MAX(1, FLOOR(C169, 1))))</f>
        <v>7</v>
      </c>
      <c r="T169" s="20">
        <f>S169/2</f>
        <v>3.5</v>
      </c>
      <c r="U169" s="25">
        <v>46244</v>
      </c>
      <c r="V169">
        <v>1</v>
      </c>
      <c r="W169" s="25" t="s">
        <v>758</v>
      </c>
      <c r="X169">
        <v>132</v>
      </c>
      <c r="Y169" t="s">
        <v>911</v>
      </c>
      <c r="Z169" t="s">
        <v>907</v>
      </c>
      <c r="AA169" t="s">
        <v>1245</v>
      </c>
      <c r="AB169">
        <v>3</v>
      </c>
    </row>
    <row r="170" spans="1:28" x14ac:dyDescent="0.25">
      <c r="A170" s="4">
        <v>169</v>
      </c>
      <c r="B170" s="4" t="s">
        <v>701</v>
      </c>
      <c r="C170" s="28">
        <v>6.9039999999999999</v>
      </c>
      <c r="D170" s="4">
        <v>2011</v>
      </c>
      <c r="E170" s="10" t="s">
        <v>833</v>
      </c>
      <c r="F170" s="10" t="s">
        <v>834</v>
      </c>
      <c r="G170" s="10" t="s">
        <v>835</v>
      </c>
      <c r="H170" s="10" t="s">
        <v>836</v>
      </c>
      <c r="I170" s="10" t="s">
        <v>837</v>
      </c>
      <c r="J170" s="10" t="s">
        <v>219</v>
      </c>
      <c r="K170" s="10" t="s">
        <v>209</v>
      </c>
      <c r="M170" s="4">
        <v>8.5</v>
      </c>
      <c r="N170" s="4">
        <v>75</v>
      </c>
      <c r="O170" s="4">
        <v>4.0999999999999996</v>
      </c>
      <c r="P170" s="20">
        <f>(M170+(N170/10)+(O170*2))/3</f>
        <v>8.0666666666666664</v>
      </c>
      <c r="Q170" s="20">
        <f>(M170+C170+(N170/10)+(O170*2))/4</f>
        <v>7.7759999999999998</v>
      </c>
      <c r="R170" s="20">
        <f>(M170+C170+(N170/10))/3</f>
        <v>7.6346666666666669</v>
      </c>
      <c r="S170" s="27">
        <f>IF(C170 &gt; 9.25, 10, IF(C170 &gt; 6.75, ROUND(C170, 0), MAX(1, FLOOR(C170, 1))))</f>
        <v>7</v>
      </c>
      <c r="T170" s="20">
        <f>S170/2</f>
        <v>3.5</v>
      </c>
      <c r="U170" s="25">
        <v>45779</v>
      </c>
      <c r="V170">
        <v>1</v>
      </c>
      <c r="W170" s="25" t="s">
        <v>839</v>
      </c>
      <c r="X170">
        <v>112</v>
      </c>
      <c r="Y170" t="s">
        <v>911</v>
      </c>
      <c r="Z170" t="s">
        <v>917</v>
      </c>
      <c r="AA170" s="25"/>
    </row>
    <row r="171" spans="1:28" x14ac:dyDescent="0.25">
      <c r="A171" s="4">
        <v>170</v>
      </c>
      <c r="B171" s="4" t="s">
        <v>815</v>
      </c>
      <c r="C171" s="28">
        <v>6.9029999999999996</v>
      </c>
      <c r="D171" s="4">
        <v>2017</v>
      </c>
      <c r="E171" s="10" t="s">
        <v>374</v>
      </c>
      <c r="F171" s="10" t="s">
        <v>567</v>
      </c>
      <c r="G171" s="10" t="s">
        <v>335</v>
      </c>
      <c r="H171" s="10" t="s">
        <v>841</v>
      </c>
      <c r="I171" s="10" t="s">
        <v>704</v>
      </c>
      <c r="J171" s="10" t="s">
        <v>219</v>
      </c>
      <c r="K171" s="10" t="s">
        <v>209</v>
      </c>
      <c r="M171" s="4">
        <v>7</v>
      </c>
      <c r="N171" s="4">
        <v>42</v>
      </c>
      <c r="O171" s="4">
        <v>3.3</v>
      </c>
      <c r="P171" s="20">
        <f>(M171+(N171/10)+(O171*2))/3</f>
        <v>5.9333333333333327</v>
      </c>
      <c r="Q171" s="20">
        <f>(M171+C171+(N171/10)+(O171*2))/4</f>
        <v>6.175749999999999</v>
      </c>
      <c r="R171" s="20">
        <f>(M171+C171+(N171/10))/3</f>
        <v>6.0343333333333327</v>
      </c>
      <c r="S171" s="27">
        <f>IF(C171 &gt; 9.25, 10, IF(C171 &gt; 6.75, ROUND(C171, 0), MAX(1, FLOOR(C171, 1))))</f>
        <v>7</v>
      </c>
      <c r="T171" s="20">
        <f>S171/2</f>
        <v>3.5</v>
      </c>
      <c r="U171" s="25">
        <v>45779</v>
      </c>
      <c r="V171">
        <v>1</v>
      </c>
      <c r="W171" s="25" t="s">
        <v>758</v>
      </c>
      <c r="X171">
        <v>126</v>
      </c>
      <c r="Y171" t="s">
        <v>911</v>
      </c>
      <c r="Z171" t="s">
        <v>907</v>
      </c>
      <c r="AA171" s="25"/>
    </row>
    <row r="172" spans="1:28" x14ac:dyDescent="0.25">
      <c r="A172" s="4">
        <v>171</v>
      </c>
      <c r="B172" s="4" t="s">
        <v>1122</v>
      </c>
      <c r="C172" s="28">
        <v>6.9020000000000001</v>
      </c>
      <c r="D172" s="4">
        <v>2014</v>
      </c>
      <c r="E172" s="10" t="s">
        <v>13</v>
      </c>
      <c r="F172" s="10" t="s">
        <v>49</v>
      </c>
      <c r="G172" s="10" t="s">
        <v>1124</v>
      </c>
      <c r="H172" s="10" t="s">
        <v>1123</v>
      </c>
      <c r="I172" s="10" t="s">
        <v>50</v>
      </c>
      <c r="J172" s="10" t="s">
        <v>219</v>
      </c>
      <c r="M172" s="4">
        <v>7</v>
      </c>
      <c r="N172" s="4">
        <v>84</v>
      </c>
      <c r="O172" s="4">
        <v>3.4</v>
      </c>
      <c r="P172" s="20">
        <f>(M172+(N172/10)+(O172*2))/3</f>
        <v>7.3999999999999995</v>
      </c>
      <c r="Q172" s="20">
        <f>(M172+C172+(N172/10)+(O172*2))/4</f>
        <v>7.2755000000000001</v>
      </c>
      <c r="R172" s="20">
        <f>(M172+C172+(N172/10))/3</f>
        <v>7.4340000000000002</v>
      </c>
      <c r="S172" s="27">
        <f>IF(C172 &gt; 9.25, 10, IF(C172 &gt; 6.75, ROUND(C172, 0), MAX(1, FLOOR(C172, 1))))</f>
        <v>7</v>
      </c>
      <c r="T172" s="20">
        <f>S172/2</f>
        <v>3.5</v>
      </c>
      <c r="U172" s="25">
        <v>46170</v>
      </c>
      <c r="V172">
        <v>1</v>
      </c>
      <c r="W172" s="25" t="s">
        <v>758</v>
      </c>
      <c r="X172">
        <v>112</v>
      </c>
      <c r="Y172" t="s">
        <v>911</v>
      </c>
      <c r="Z172" t="s">
        <v>907</v>
      </c>
    </row>
    <row r="173" spans="1:28" x14ac:dyDescent="0.25">
      <c r="A173" s="4">
        <v>172</v>
      </c>
      <c r="B173" s="4" t="s">
        <v>1106</v>
      </c>
      <c r="C173" s="28">
        <v>6.9009999999999998</v>
      </c>
      <c r="D173" s="4">
        <v>2000</v>
      </c>
      <c r="E173" s="10" t="s">
        <v>1107</v>
      </c>
      <c r="F173" s="10" t="s">
        <v>52</v>
      </c>
      <c r="G173" s="10" t="s">
        <v>1108</v>
      </c>
      <c r="H173" s="10" t="s">
        <v>1109</v>
      </c>
      <c r="I173" s="10" t="s">
        <v>710</v>
      </c>
      <c r="J173" s="10" t="s">
        <v>215</v>
      </c>
      <c r="K173" s="10" t="s">
        <v>219</v>
      </c>
      <c r="L173" s="10" t="s">
        <v>672</v>
      </c>
      <c r="M173" s="4">
        <v>8.1999999999999993</v>
      </c>
      <c r="N173" s="4">
        <v>74</v>
      </c>
      <c r="O173" s="4">
        <v>4</v>
      </c>
      <c r="P173" s="20">
        <f>(M173+(N173/10)+(O173*2))/3</f>
        <v>7.8666666666666671</v>
      </c>
      <c r="Q173" s="20">
        <f>(M173+C173+(N173/10)+(O173*2))/4</f>
        <v>7.6252499999999994</v>
      </c>
      <c r="R173" s="20">
        <f>(M173+C173+(N173/10))/3</f>
        <v>7.5003333333333329</v>
      </c>
      <c r="S173" s="27">
        <f>IF(C173 &gt; 9.25, 10, IF(C173 &gt; 6.75, ROUND(C173, 0), MAX(1, FLOOR(C173, 1))))</f>
        <v>7</v>
      </c>
      <c r="T173" s="20">
        <f>S173/2</f>
        <v>3.5</v>
      </c>
      <c r="U173" s="25">
        <v>46161</v>
      </c>
      <c r="V173">
        <v>1</v>
      </c>
      <c r="W173" s="25" t="s">
        <v>758</v>
      </c>
      <c r="X173">
        <v>102</v>
      </c>
      <c r="Y173" t="s">
        <v>911</v>
      </c>
      <c r="Z173" t="s">
        <v>907</v>
      </c>
    </row>
    <row r="174" spans="1:28" x14ac:dyDescent="0.25">
      <c r="A174" s="4">
        <v>173</v>
      </c>
      <c r="B174" s="4" t="s">
        <v>80</v>
      </c>
      <c r="C174" s="28">
        <v>6.806</v>
      </c>
      <c r="D174" s="4">
        <v>2000</v>
      </c>
      <c r="E174" s="5" t="s">
        <v>9</v>
      </c>
      <c r="F174" s="10" t="s">
        <v>273</v>
      </c>
      <c r="G174" s="5" t="s">
        <v>83</v>
      </c>
      <c r="H174" s="10" t="s">
        <v>82</v>
      </c>
      <c r="I174" s="5" t="s">
        <v>84</v>
      </c>
      <c r="J174" s="5" t="s">
        <v>208</v>
      </c>
      <c r="K174" s="10" t="s">
        <v>217</v>
      </c>
      <c r="L174" s="5" t="s">
        <v>222</v>
      </c>
      <c r="M174" s="4">
        <v>6.1</v>
      </c>
      <c r="N174" s="4">
        <v>56</v>
      </c>
      <c r="O174" s="4">
        <v>2.7</v>
      </c>
      <c r="P174" s="20">
        <f>(M174+(N174/10)+(O174*2))/3</f>
        <v>5.7</v>
      </c>
      <c r="Q174" s="20">
        <f>(M174+C174+(N174/10)+(O174*2))/4</f>
        <v>5.9764999999999997</v>
      </c>
      <c r="R174" s="20">
        <f>(M174+C174+(N174/10))/3</f>
        <v>6.1686666666666667</v>
      </c>
      <c r="S174" s="27">
        <f>IF(C174 &gt; 9.25, 10, IF(C174 &gt; 6.75, ROUND(C174, 0), MAX(1, FLOOR(C174, 1))))</f>
        <v>7</v>
      </c>
      <c r="T174" s="20">
        <f>S174/2</f>
        <v>3.5</v>
      </c>
      <c r="U174" s="25">
        <v>45837</v>
      </c>
      <c r="V174">
        <v>2</v>
      </c>
      <c r="W174" s="25" t="s">
        <v>758</v>
      </c>
      <c r="X174">
        <v>123</v>
      </c>
      <c r="Y174" t="s">
        <v>922</v>
      </c>
      <c r="Z174" t="s">
        <v>914</v>
      </c>
      <c r="AA174" s="25" t="s">
        <v>81</v>
      </c>
      <c r="AB174">
        <v>2</v>
      </c>
    </row>
    <row r="175" spans="1:28" x14ac:dyDescent="0.25">
      <c r="A175" s="4">
        <v>174</v>
      </c>
      <c r="B175" s="4" t="s">
        <v>1118</v>
      </c>
      <c r="C175" s="28">
        <v>6.8049999999999997</v>
      </c>
      <c r="D175" s="4">
        <v>1980</v>
      </c>
      <c r="E175" s="10" t="s">
        <v>1119</v>
      </c>
      <c r="F175" s="10" t="s">
        <v>1121</v>
      </c>
      <c r="G175" s="10" t="s">
        <v>118</v>
      </c>
      <c r="H175" s="10" t="s">
        <v>1120</v>
      </c>
      <c r="I175" s="10" t="s">
        <v>740</v>
      </c>
      <c r="J175" s="10" t="s">
        <v>219</v>
      </c>
      <c r="K175" s="10" t="s">
        <v>210</v>
      </c>
      <c r="M175" s="4">
        <v>7.2</v>
      </c>
      <c r="N175" s="4">
        <v>73</v>
      </c>
      <c r="O175" s="4">
        <v>3.4</v>
      </c>
      <c r="P175" s="20">
        <f>(M175+(N175/10)+(O175*2))/3</f>
        <v>7.1000000000000005</v>
      </c>
      <c r="Q175" s="20">
        <f>(M175+C175+(N175/10)+(O175*2))/4</f>
        <v>7.0262500000000001</v>
      </c>
      <c r="R175" s="20">
        <f>(M175+C175+(N175/10))/3</f>
        <v>7.1016666666666666</v>
      </c>
      <c r="S175" s="27">
        <f>IF(C175 &gt; 9.25, 10, IF(C175 &gt; 6.75, ROUND(C175, 0), MAX(1, FLOOR(C175, 1))))</f>
        <v>7</v>
      </c>
      <c r="T175" s="20">
        <f>S175/2</f>
        <v>3.5</v>
      </c>
      <c r="U175" s="25">
        <v>46167</v>
      </c>
      <c r="V175">
        <v>1</v>
      </c>
      <c r="W175" s="25" t="s">
        <v>758</v>
      </c>
      <c r="X175">
        <v>98</v>
      </c>
      <c r="Y175" t="s">
        <v>911</v>
      </c>
      <c r="Z175" t="s">
        <v>907</v>
      </c>
    </row>
    <row r="176" spans="1:28" x14ac:dyDescent="0.25">
      <c r="A176" s="4">
        <v>175</v>
      </c>
      <c r="B176" s="4" t="s">
        <v>1270</v>
      </c>
      <c r="C176" s="28">
        <v>6.8040000000000003</v>
      </c>
      <c r="D176" s="4">
        <v>2023</v>
      </c>
      <c r="E176" s="10" t="s">
        <v>1271</v>
      </c>
      <c r="F176" s="10" t="s">
        <v>1273</v>
      </c>
      <c r="G176" s="10" t="s">
        <v>1272</v>
      </c>
      <c r="H176" s="10" t="s">
        <v>1274</v>
      </c>
      <c r="I176" s="10" t="s">
        <v>42</v>
      </c>
      <c r="J176" s="10" t="s">
        <v>209</v>
      </c>
      <c r="K176" s="10" t="s">
        <v>220</v>
      </c>
      <c r="L176" s="10" t="s">
        <v>648</v>
      </c>
      <c r="M176" s="4">
        <v>6.4</v>
      </c>
      <c r="N176" s="4">
        <v>73</v>
      </c>
      <c r="O176" s="4">
        <v>3.2</v>
      </c>
      <c r="P176" s="20">
        <f>(M176+(N176/10)+(O176*2))/3</f>
        <v>6.7</v>
      </c>
      <c r="Q176" s="20">
        <f>(M176+C176+(N176/10)+(O176*2))/4</f>
        <v>6.7260000000000009</v>
      </c>
      <c r="R176" s="20">
        <f>(M176+C176+(N176/10))/3</f>
        <v>6.8346666666666671</v>
      </c>
      <c r="S176" s="27">
        <f>IF(C176 &gt; 9.25, 10, IF(C176 &gt; 6.75, ROUND(C176, 0), MAX(1, FLOOR(C176, 1))))</f>
        <v>7</v>
      </c>
      <c r="T176" s="20">
        <f>S176/2</f>
        <v>3.5</v>
      </c>
      <c r="U176" s="25">
        <v>46216</v>
      </c>
      <c r="V176">
        <v>1</v>
      </c>
      <c r="W176" s="25" t="s">
        <v>758</v>
      </c>
      <c r="X176">
        <v>130</v>
      </c>
      <c r="Y176" t="s">
        <v>911</v>
      </c>
      <c r="Z176" t="s">
        <v>924</v>
      </c>
    </row>
    <row r="177" spans="1:28" x14ac:dyDescent="0.25">
      <c r="A177" s="4">
        <v>176</v>
      </c>
      <c r="B177" s="4" t="s">
        <v>451</v>
      </c>
      <c r="C177" s="28">
        <v>6.8029999999999999</v>
      </c>
      <c r="D177" s="4">
        <v>2012</v>
      </c>
      <c r="E177" s="5" t="s">
        <v>77</v>
      </c>
      <c r="F177" s="10" t="s">
        <v>287</v>
      </c>
      <c r="G177" s="10" t="s">
        <v>454</v>
      </c>
      <c r="H177" s="10" t="s">
        <v>455</v>
      </c>
      <c r="I177" s="10" t="s">
        <v>456</v>
      </c>
      <c r="J177" s="10" t="s">
        <v>208</v>
      </c>
      <c r="K177" s="10" t="s">
        <v>217</v>
      </c>
      <c r="L177" s="10" t="s">
        <v>222</v>
      </c>
      <c r="M177" s="4">
        <v>7.8</v>
      </c>
      <c r="N177" s="4">
        <v>92</v>
      </c>
      <c r="O177" s="4">
        <v>3.9</v>
      </c>
      <c r="P177" s="20">
        <f>(M177+(N177/10)+(O177*2))/3</f>
        <v>8.2666666666666675</v>
      </c>
      <c r="Q177" s="20">
        <f>(M177+C177+(N177/10)+(O177*2))/4</f>
        <v>7.9007499999999995</v>
      </c>
      <c r="R177" s="20">
        <f>(M177+C177+(N177/10))/3</f>
        <v>7.9343333333333321</v>
      </c>
      <c r="S177" s="27">
        <f>IF(C177 &gt; 9.25, 10, IF(C177 &gt; 6.75, ROUND(C177, 0), MAX(1, FLOOR(C177, 1))))</f>
        <v>7</v>
      </c>
      <c r="T177" s="20">
        <f>S177/2</f>
        <v>3.5</v>
      </c>
      <c r="U177" s="25">
        <v>45116</v>
      </c>
      <c r="V177">
        <v>1</v>
      </c>
      <c r="W177" s="25" t="s">
        <v>758</v>
      </c>
      <c r="X177">
        <v>143</v>
      </c>
      <c r="Y177" t="s">
        <v>911</v>
      </c>
      <c r="Z177" t="s">
        <v>825</v>
      </c>
      <c r="AA177" s="25" t="s">
        <v>990</v>
      </c>
      <c r="AB177">
        <v>23</v>
      </c>
    </row>
    <row r="178" spans="1:28" x14ac:dyDescent="0.25">
      <c r="A178" s="4">
        <v>177</v>
      </c>
      <c r="B178" s="4">
        <v>300</v>
      </c>
      <c r="C178" s="28">
        <v>6.8019999999999996</v>
      </c>
      <c r="D178" s="4">
        <v>2006</v>
      </c>
      <c r="E178" s="10" t="s">
        <v>1193</v>
      </c>
      <c r="F178" s="10" t="s">
        <v>775</v>
      </c>
      <c r="G178" s="10" t="s">
        <v>928</v>
      </c>
      <c r="H178" s="10" t="s">
        <v>774</v>
      </c>
      <c r="I178" s="10" t="s">
        <v>99</v>
      </c>
      <c r="J178" s="10" t="s">
        <v>209</v>
      </c>
      <c r="K178" s="10" t="s">
        <v>208</v>
      </c>
      <c r="L178" s="10" t="s">
        <v>670</v>
      </c>
      <c r="M178" s="4">
        <v>7.6</v>
      </c>
      <c r="N178" s="4">
        <v>61</v>
      </c>
      <c r="O178" s="4">
        <v>3.4</v>
      </c>
      <c r="P178" s="20">
        <f>(M178+(N178/10)+(O178*2))/3</f>
        <v>6.833333333333333</v>
      </c>
      <c r="Q178" s="20">
        <f>(M178+C178+(N178/10)+(O178*2))/4</f>
        <v>6.8254999999999999</v>
      </c>
      <c r="R178" s="20">
        <f>(M178+C178+(N178/10))/3</f>
        <v>6.8339999999999996</v>
      </c>
      <c r="S178" s="27">
        <f>IF(C178 &gt; 9.25, 10, IF(C178 &gt; 6.75, ROUND(C178, 0), MAX(1, FLOOR(C178, 1))))</f>
        <v>7</v>
      </c>
      <c r="T178" s="20">
        <f>S178/2</f>
        <v>3.5</v>
      </c>
      <c r="U178" s="25">
        <v>46044</v>
      </c>
      <c r="V178">
        <v>1</v>
      </c>
      <c r="W178" s="25" t="s">
        <v>758</v>
      </c>
      <c r="X178">
        <v>117</v>
      </c>
      <c r="Y178" t="s">
        <v>911</v>
      </c>
      <c r="Z178" t="s">
        <v>915</v>
      </c>
      <c r="AA178" s="25"/>
    </row>
    <row r="179" spans="1:28" x14ac:dyDescent="0.25">
      <c r="A179" s="4">
        <v>178</v>
      </c>
      <c r="B179" s="4" t="s">
        <v>984</v>
      </c>
      <c r="C179" s="28">
        <v>6.8010000000000002</v>
      </c>
      <c r="D179" s="4">
        <v>2011</v>
      </c>
      <c r="E179" s="10" t="s">
        <v>985</v>
      </c>
      <c r="F179" s="10" t="s">
        <v>526</v>
      </c>
      <c r="G179" s="10" t="s">
        <v>988</v>
      </c>
      <c r="H179" s="10" t="s">
        <v>987</v>
      </c>
      <c r="I179" s="10" t="s">
        <v>986</v>
      </c>
      <c r="J179" s="10" t="s">
        <v>208</v>
      </c>
      <c r="K179" s="10" t="s">
        <v>223</v>
      </c>
      <c r="L179" s="10" t="s">
        <v>951</v>
      </c>
      <c r="M179" s="4">
        <v>6.9</v>
      </c>
      <c r="N179" s="4">
        <v>80</v>
      </c>
      <c r="O179" s="4">
        <v>3.3</v>
      </c>
      <c r="P179" s="20">
        <f>(M179+(N179/10)+(O179*2))/3</f>
        <v>7.166666666666667</v>
      </c>
      <c r="Q179" s="20">
        <f>(M179+C179+(N179/10)+(O179*2))/4</f>
        <v>7.0752500000000005</v>
      </c>
      <c r="R179" s="20">
        <f>(M179+C179+(N179/10))/3</f>
        <v>7.2336666666666671</v>
      </c>
      <c r="S179" s="27">
        <f>IF(C179 &gt; 9.25, 10, IF(C179 &gt; 6.75, ROUND(C179, 0), MAX(1, FLOOR(C179, 1))))</f>
        <v>7</v>
      </c>
      <c r="T179" s="20">
        <f>S179/2</f>
        <v>3.5</v>
      </c>
      <c r="U179" s="25">
        <v>46068</v>
      </c>
      <c r="V179">
        <v>1</v>
      </c>
      <c r="W179" s="25" t="s">
        <v>758</v>
      </c>
      <c r="X179">
        <v>124</v>
      </c>
      <c r="Y179" t="s">
        <v>911</v>
      </c>
      <c r="Z179" t="s">
        <v>907</v>
      </c>
      <c r="AA179" s="25" t="s">
        <v>993</v>
      </c>
      <c r="AB179">
        <v>1</v>
      </c>
    </row>
    <row r="180" spans="1:28" x14ac:dyDescent="0.25">
      <c r="A180" s="4">
        <v>179</v>
      </c>
      <c r="B180" s="4" t="s">
        <v>160</v>
      </c>
      <c r="C180" s="28">
        <v>6.7069999999999999</v>
      </c>
      <c r="D180" s="4">
        <v>1994</v>
      </c>
      <c r="E180" s="10" t="s">
        <v>597</v>
      </c>
      <c r="F180" s="10" t="s">
        <v>165</v>
      </c>
      <c r="G180" s="10" t="s">
        <v>167</v>
      </c>
      <c r="H180" s="10" t="s">
        <v>168</v>
      </c>
      <c r="I180" s="10" t="s">
        <v>166</v>
      </c>
      <c r="J180" s="10" t="s">
        <v>210</v>
      </c>
      <c r="K180" s="10" t="s">
        <v>209</v>
      </c>
      <c r="L180" s="10" t="s">
        <v>225</v>
      </c>
      <c r="M180" s="4">
        <v>6.1</v>
      </c>
      <c r="N180" s="4">
        <v>20</v>
      </c>
      <c r="O180" s="4">
        <v>3.2</v>
      </c>
      <c r="P180" s="20">
        <f>(M180+(N180/10)+(O180*2))/3</f>
        <v>4.833333333333333</v>
      </c>
      <c r="Q180" s="20">
        <f>(M180+C180+(N180/10)+(O180*2))/4</f>
        <v>5.3017500000000002</v>
      </c>
      <c r="R180" s="20">
        <f>(M180+C180+(N180/10))/3</f>
        <v>4.9356666666666662</v>
      </c>
      <c r="S180" s="27">
        <f>IF(C180 &gt; 9.25, 10, IF(C180 &gt; 6.75, ROUND(C180, 0), MAX(1, FLOOR(C180, 1))))</f>
        <v>6</v>
      </c>
      <c r="T180" s="20">
        <f>S180/2</f>
        <v>3</v>
      </c>
      <c r="U180" s="25">
        <v>45718</v>
      </c>
      <c r="V180">
        <v>3</v>
      </c>
      <c r="W180" s="25" t="s">
        <v>758</v>
      </c>
      <c r="X180">
        <v>106</v>
      </c>
      <c r="Y180" t="s">
        <v>911</v>
      </c>
      <c r="Z180" t="s">
        <v>915</v>
      </c>
      <c r="AA180" s="25" t="s">
        <v>992</v>
      </c>
      <c r="AB180">
        <v>2</v>
      </c>
    </row>
    <row r="181" spans="1:28" x14ac:dyDescent="0.25">
      <c r="A181" s="4">
        <v>180</v>
      </c>
      <c r="B181" s="4" t="s">
        <v>203</v>
      </c>
      <c r="C181" s="28">
        <v>6.7060000000000004</v>
      </c>
      <c r="D181" s="4">
        <v>2004</v>
      </c>
      <c r="E181" s="5" t="s">
        <v>1194</v>
      </c>
      <c r="F181" s="10" t="s">
        <v>296</v>
      </c>
      <c r="G181" s="10" t="s">
        <v>297</v>
      </c>
      <c r="H181" s="10" t="s">
        <v>298</v>
      </c>
      <c r="I181" s="10" t="s">
        <v>342</v>
      </c>
      <c r="J181" t="s">
        <v>210</v>
      </c>
      <c r="K181" t="s">
        <v>208</v>
      </c>
      <c r="L181" t="s">
        <v>209</v>
      </c>
      <c r="M181" s="4">
        <v>7.2</v>
      </c>
      <c r="N181" s="4">
        <v>82</v>
      </c>
      <c r="O181" s="4">
        <v>3.6</v>
      </c>
      <c r="P181" s="20">
        <f>(M181+(N181/10)+(O181*2))/3</f>
        <v>7.5333333333333323</v>
      </c>
      <c r="Q181" s="20">
        <f>(M181+C181+(N181/10)+(O181*2))/4</f>
        <v>7.3265000000000002</v>
      </c>
      <c r="R181" s="20">
        <f>(M181+C181+(N181/10))/3</f>
        <v>7.3686666666666669</v>
      </c>
      <c r="S181" s="27">
        <f>IF(C181 &gt; 9.25, 10, IF(C181 &gt; 6.75, ROUND(C181, 0), MAX(1, FLOOR(C181, 1))))</f>
        <v>6</v>
      </c>
      <c r="T181" s="20">
        <f>S181/2</f>
        <v>3</v>
      </c>
      <c r="U181" s="25">
        <v>44434</v>
      </c>
      <c r="V181">
        <v>1</v>
      </c>
      <c r="W181" s="25" t="s">
        <v>758</v>
      </c>
      <c r="X181">
        <v>118</v>
      </c>
      <c r="Y181" t="s">
        <v>911</v>
      </c>
      <c r="Z181" t="s">
        <v>825</v>
      </c>
      <c r="AA181" s="25"/>
    </row>
    <row r="182" spans="1:28" x14ac:dyDescent="0.25">
      <c r="A182" s="4">
        <v>181</v>
      </c>
      <c r="B182" s="4" t="s">
        <v>734</v>
      </c>
      <c r="C182" s="28">
        <v>6.7050000000000001</v>
      </c>
      <c r="D182" s="4">
        <v>2012</v>
      </c>
      <c r="E182" s="10" t="s">
        <v>66</v>
      </c>
      <c r="F182" s="10" t="s">
        <v>860</v>
      </c>
      <c r="G182" s="10" t="s">
        <v>304</v>
      </c>
      <c r="H182" s="10" t="s">
        <v>513</v>
      </c>
      <c r="I182" s="10" t="s">
        <v>733</v>
      </c>
      <c r="J182" s="10" t="s">
        <v>226</v>
      </c>
      <c r="K182" s="10" t="s">
        <v>217</v>
      </c>
      <c r="L182" s="10" t="s">
        <v>209</v>
      </c>
      <c r="M182" s="4">
        <v>7.4</v>
      </c>
      <c r="N182" s="4">
        <v>91</v>
      </c>
      <c r="O182" s="4">
        <v>3.7</v>
      </c>
      <c r="P182" s="20">
        <f>(M182+(N182/10)+(O182*2))/3</f>
        <v>7.9666666666666659</v>
      </c>
      <c r="Q182" s="20">
        <f>(M182+C182+(N182/10)+(O182*2))/4</f>
        <v>7.6512499999999992</v>
      </c>
      <c r="R182" s="20">
        <f>(M182+C182+(N182/10))/3</f>
        <v>7.7349999999999994</v>
      </c>
      <c r="S182" s="27">
        <f>IF(C182 &gt; 9.25, 10, IF(C182 &gt; 6.75, ROUND(C182, 0), MAX(1, FLOOR(C182, 1))))</f>
        <v>6</v>
      </c>
      <c r="T182" s="20">
        <f>S182/2</f>
        <v>3</v>
      </c>
      <c r="U182" s="25">
        <v>45859</v>
      </c>
      <c r="V182">
        <v>1</v>
      </c>
      <c r="W182" s="25" t="s">
        <v>758</v>
      </c>
      <c r="X182">
        <v>157</v>
      </c>
      <c r="Y182" t="s">
        <v>911</v>
      </c>
      <c r="Z182" t="s">
        <v>825</v>
      </c>
      <c r="AA182" s="25"/>
    </row>
    <row r="183" spans="1:28" x14ac:dyDescent="0.25">
      <c r="A183" s="4">
        <v>182</v>
      </c>
      <c r="B183" s="4" t="s">
        <v>1012</v>
      </c>
      <c r="C183" s="28">
        <v>6.7039999999999997</v>
      </c>
      <c r="D183" s="4">
        <v>2015</v>
      </c>
      <c r="E183" s="10" t="s">
        <v>24</v>
      </c>
      <c r="F183" s="10" t="s">
        <v>113</v>
      </c>
      <c r="G183" s="10" t="s">
        <v>1013</v>
      </c>
      <c r="H183" s="10" t="s">
        <v>1014</v>
      </c>
      <c r="I183" s="10" t="s">
        <v>113</v>
      </c>
      <c r="J183" s="10" t="s">
        <v>219</v>
      </c>
      <c r="M183" s="4">
        <v>6.3</v>
      </c>
      <c r="N183" s="4">
        <v>45</v>
      </c>
      <c r="O183" s="4">
        <v>2.8</v>
      </c>
      <c r="P183" s="20">
        <f>(M183+(N183/10)+(O183*2))/3</f>
        <v>5.4666666666666659</v>
      </c>
      <c r="Q183" s="20">
        <f>(M183+C183+(N183/10)+(O183*2))/4</f>
        <v>5.7759999999999998</v>
      </c>
      <c r="R183" s="20">
        <f>(M183+C183+(N183/10))/3</f>
        <v>5.8346666666666662</v>
      </c>
      <c r="S183" s="27">
        <f>IF(C183 &gt; 9.25, 10, IF(C183 &gt; 6.75, ROUND(C183, 0), MAX(1, FLOOR(C183, 1))))</f>
        <v>6</v>
      </c>
      <c r="T183" s="20">
        <f>S183/2</f>
        <v>3</v>
      </c>
      <c r="U183" s="25">
        <v>46077</v>
      </c>
      <c r="V183">
        <v>1</v>
      </c>
      <c r="W183" s="25" t="s">
        <v>758</v>
      </c>
      <c r="X183">
        <v>116</v>
      </c>
      <c r="Y183" t="s">
        <v>911</v>
      </c>
      <c r="Z183" t="s">
        <v>907</v>
      </c>
    </row>
    <row r="184" spans="1:28" x14ac:dyDescent="0.25">
      <c r="A184" s="4">
        <v>183</v>
      </c>
      <c r="B184" s="4" t="s">
        <v>161</v>
      </c>
      <c r="C184" s="28">
        <v>6.7030000000000003</v>
      </c>
      <c r="D184" s="4">
        <v>1996</v>
      </c>
      <c r="E184" s="10" t="s">
        <v>597</v>
      </c>
      <c r="F184" s="10" t="s">
        <v>165</v>
      </c>
      <c r="G184" s="10" t="s">
        <v>1196</v>
      </c>
      <c r="H184" s="10" t="s">
        <v>170</v>
      </c>
      <c r="I184" s="10" t="s">
        <v>169</v>
      </c>
      <c r="J184" s="10" t="s">
        <v>210</v>
      </c>
      <c r="K184" s="10" t="s">
        <v>208</v>
      </c>
      <c r="L184" s="10" t="s">
        <v>209</v>
      </c>
      <c r="M184" s="4">
        <v>5.4</v>
      </c>
      <c r="N184" s="4">
        <v>20</v>
      </c>
      <c r="O184" s="4">
        <v>2.9</v>
      </c>
      <c r="P184" s="20">
        <f>(M184+(N184/10)+(O184*2))/3</f>
        <v>4.3999999999999995</v>
      </c>
      <c r="Q184" s="20">
        <f>(M184+C184+(N184/10)+(O184*2))/4</f>
        <v>4.9757500000000006</v>
      </c>
      <c r="R184" s="20">
        <f>(M184+C184+(N184/10))/3</f>
        <v>4.7010000000000005</v>
      </c>
      <c r="S184" s="27">
        <f>IF(C184 &gt; 9.25, 10, IF(C184 &gt; 6.75, ROUND(C184, 0), MAX(1, FLOOR(C184, 1))))</f>
        <v>6</v>
      </c>
      <c r="T184" s="20">
        <f>S184/2</f>
        <v>3</v>
      </c>
      <c r="U184" s="25">
        <v>45718</v>
      </c>
      <c r="V184">
        <v>3</v>
      </c>
      <c r="W184" s="25" t="s">
        <v>758</v>
      </c>
      <c r="X184">
        <v>104</v>
      </c>
      <c r="Y184" t="s">
        <v>911</v>
      </c>
      <c r="Z184" t="s">
        <v>915</v>
      </c>
      <c r="AA184" s="25" t="s">
        <v>992</v>
      </c>
      <c r="AB184">
        <v>3</v>
      </c>
    </row>
    <row r="185" spans="1:28" x14ac:dyDescent="0.25">
      <c r="A185" s="4">
        <v>184</v>
      </c>
      <c r="B185" s="4" t="s">
        <v>724</v>
      </c>
      <c r="C185" s="28">
        <v>6.702</v>
      </c>
      <c r="D185" s="4">
        <v>2013</v>
      </c>
      <c r="E185" s="10" t="s">
        <v>91</v>
      </c>
      <c r="F185" s="10" t="s">
        <v>158</v>
      </c>
      <c r="G185" s="10" t="s">
        <v>857</v>
      </c>
      <c r="H185" s="10" t="s">
        <v>859</v>
      </c>
      <c r="I185" s="10" t="s">
        <v>700</v>
      </c>
      <c r="J185" s="10" t="s">
        <v>219</v>
      </c>
      <c r="M185" s="4">
        <v>6.3</v>
      </c>
      <c r="N185" s="4">
        <v>34</v>
      </c>
      <c r="O185" s="4">
        <v>2.9</v>
      </c>
      <c r="P185" s="20">
        <f>(M185+(N185/10)+(O185*2))/3</f>
        <v>5.166666666666667</v>
      </c>
      <c r="Q185" s="20">
        <f>(M185+C185+(N185/10)+(O185*2))/4</f>
        <v>5.5504999999999995</v>
      </c>
      <c r="R185" s="20">
        <f>(M185+C185+(N185/10))/3</f>
        <v>5.4673333333333325</v>
      </c>
      <c r="S185" s="27">
        <f>IF(C185 &gt; 9.25, 10, IF(C185 &gt; 6.75, ROUND(C185, 0), MAX(1, FLOOR(C185, 1))))</f>
        <v>6</v>
      </c>
      <c r="T185" s="20">
        <f>S185/2</f>
        <v>3</v>
      </c>
      <c r="U185" s="25">
        <v>45933</v>
      </c>
      <c r="V185">
        <v>1</v>
      </c>
      <c r="W185" s="25" t="s">
        <v>758</v>
      </c>
      <c r="X185">
        <v>119</v>
      </c>
      <c r="Y185" t="s">
        <v>911</v>
      </c>
      <c r="Z185" t="s">
        <v>907</v>
      </c>
      <c r="AA185" s="25"/>
    </row>
    <row r="186" spans="1:28" x14ac:dyDescent="0.25">
      <c r="A186" s="4">
        <v>185</v>
      </c>
      <c r="B186" s="4" t="s">
        <v>86</v>
      </c>
      <c r="C186" s="28">
        <v>6.7009999999999996</v>
      </c>
      <c r="D186" s="4">
        <v>2006</v>
      </c>
      <c r="E186" s="5" t="s">
        <v>9</v>
      </c>
      <c r="F186" s="10" t="s">
        <v>87</v>
      </c>
      <c r="G186" s="5" t="s">
        <v>82</v>
      </c>
      <c r="H186" s="10" t="s">
        <v>1179</v>
      </c>
      <c r="I186" s="5" t="s">
        <v>88</v>
      </c>
      <c r="J186" s="5" t="s">
        <v>208</v>
      </c>
      <c r="K186" s="10" t="s">
        <v>217</v>
      </c>
      <c r="L186" s="10" t="s">
        <v>222</v>
      </c>
      <c r="M186" s="4">
        <v>6.9</v>
      </c>
      <c r="N186" s="4">
        <v>71</v>
      </c>
      <c r="O186" s="4">
        <v>3.4</v>
      </c>
      <c r="P186" s="20">
        <f>(M186+(N186/10)+(O186*2))/3</f>
        <v>6.9333333333333336</v>
      </c>
      <c r="Q186" s="20">
        <f>(M186+C186+(N186/10)+(O186*2))/4</f>
        <v>6.8752500000000003</v>
      </c>
      <c r="R186" s="20">
        <f>(M186+C186+(N186/10))/3</f>
        <v>6.9003333333333332</v>
      </c>
      <c r="S186" s="27">
        <f>IF(C186 &gt; 9.25, 10, IF(C186 &gt; 6.75, ROUND(C186, 0), MAX(1, FLOOR(C186, 1))))</f>
        <v>6</v>
      </c>
      <c r="T186" s="20">
        <f>S186/2</f>
        <v>3</v>
      </c>
      <c r="U186" s="25">
        <v>45851</v>
      </c>
      <c r="V186">
        <v>2</v>
      </c>
      <c r="W186" s="25" t="s">
        <v>758</v>
      </c>
      <c r="X186">
        <v>126</v>
      </c>
      <c r="Y186" t="s">
        <v>922</v>
      </c>
      <c r="Z186" t="s">
        <v>914</v>
      </c>
      <c r="AA186" s="25" t="s">
        <v>81</v>
      </c>
      <c r="AB186">
        <v>3</v>
      </c>
    </row>
    <row r="187" spans="1:28" x14ac:dyDescent="0.25">
      <c r="A187" s="4">
        <v>186</v>
      </c>
      <c r="B187" s="4" t="s">
        <v>1078</v>
      </c>
      <c r="C187" s="28">
        <v>6.6059999999999999</v>
      </c>
      <c r="D187" s="4">
        <v>2014</v>
      </c>
      <c r="E187" s="10" t="s">
        <v>513</v>
      </c>
      <c r="F187" s="10" t="s">
        <v>1072</v>
      </c>
      <c r="G187" s="10" t="s">
        <v>129</v>
      </c>
      <c r="H187" s="10" t="s">
        <v>151</v>
      </c>
      <c r="I187" s="10" t="s">
        <v>1074</v>
      </c>
      <c r="J187" s="10" t="s">
        <v>208</v>
      </c>
      <c r="K187" s="10" t="s">
        <v>223</v>
      </c>
      <c r="L187" s="10" t="s">
        <v>951</v>
      </c>
      <c r="M187" s="4">
        <v>7.6</v>
      </c>
      <c r="N187" s="4">
        <v>85</v>
      </c>
      <c r="O187" s="4">
        <v>3.6</v>
      </c>
      <c r="P187" s="20">
        <f>(M187+(N187/10)+(O187*2))/3</f>
        <v>7.7666666666666666</v>
      </c>
      <c r="Q187" s="20">
        <f>(M187+C187+(N187/10)+(O187*2))/4</f>
        <v>7.4764999999999997</v>
      </c>
      <c r="R187" s="20">
        <f>(M187+C187+(N187/10))/3</f>
        <v>7.5686666666666662</v>
      </c>
      <c r="S187" s="27">
        <f>IF(C187 &gt; 9.25, 10, IF(C187 &gt; 6.75, ROUND(C187, 0), MAX(1, FLOOR(C187, 1))))</f>
        <v>6</v>
      </c>
      <c r="T187" s="20">
        <f>S187/2</f>
        <v>3</v>
      </c>
      <c r="U187" s="25">
        <v>46139</v>
      </c>
      <c r="V187">
        <v>1</v>
      </c>
      <c r="W187" s="25" t="s">
        <v>758</v>
      </c>
      <c r="X187">
        <v>137</v>
      </c>
      <c r="Y187" t="s">
        <v>911</v>
      </c>
      <c r="Z187" t="s">
        <v>915</v>
      </c>
      <c r="AA187" t="s">
        <v>1071</v>
      </c>
      <c r="AB187">
        <v>2</v>
      </c>
    </row>
    <row r="188" spans="1:28" x14ac:dyDescent="0.25">
      <c r="A188" s="4">
        <v>187</v>
      </c>
      <c r="B188" s="4" t="s">
        <v>766</v>
      </c>
      <c r="C188" s="28">
        <v>6.6050000000000004</v>
      </c>
      <c r="D188" s="4">
        <v>1989</v>
      </c>
      <c r="E188" s="5" t="s">
        <v>782</v>
      </c>
      <c r="F188" s="10" t="s">
        <v>801</v>
      </c>
      <c r="G188" s="10" t="s">
        <v>1301</v>
      </c>
      <c r="H188" s="10" t="s">
        <v>831</v>
      </c>
      <c r="I188" s="10" t="s">
        <v>845</v>
      </c>
      <c r="J188" s="10" t="s">
        <v>210</v>
      </c>
      <c r="K188" s="10" t="s">
        <v>219</v>
      </c>
      <c r="M188" s="4">
        <v>7.2</v>
      </c>
      <c r="N188" s="4">
        <v>83</v>
      </c>
      <c r="O188" s="4">
        <v>3.5</v>
      </c>
      <c r="P188" s="20">
        <f>(M188+(N188/10)+(O188*2))/3</f>
        <v>7.5</v>
      </c>
      <c r="Q188" s="20">
        <f>(M188+C188+(N188/10)+(O188*2))/4</f>
        <v>7.2762500000000001</v>
      </c>
      <c r="R188" s="20">
        <f>(M188+C188+(N188/10))/3</f>
        <v>7.3683333333333332</v>
      </c>
      <c r="S188" s="27">
        <f>IF(C188 &gt; 9.25, 10, IF(C188 &gt; 6.75, ROUND(C188, 0), MAX(1, FLOOR(C188, 1))))</f>
        <v>6</v>
      </c>
      <c r="T188" s="20">
        <f>S188/2</f>
        <v>3</v>
      </c>
      <c r="U188" s="25">
        <v>45828</v>
      </c>
      <c r="V188">
        <v>1</v>
      </c>
      <c r="W188" s="25" t="s">
        <v>758</v>
      </c>
      <c r="X188">
        <v>106</v>
      </c>
      <c r="Y188" t="s">
        <v>911</v>
      </c>
      <c r="Z188" t="s">
        <v>907</v>
      </c>
      <c r="AA188" s="25"/>
    </row>
    <row r="189" spans="1:28" x14ac:dyDescent="0.25">
      <c r="A189" s="4">
        <v>188</v>
      </c>
      <c r="B189" s="4" t="s">
        <v>202</v>
      </c>
      <c r="C189" s="28">
        <v>6.6040000000000001</v>
      </c>
      <c r="D189" s="4">
        <v>2004</v>
      </c>
      <c r="E189" s="5" t="s">
        <v>19</v>
      </c>
      <c r="F189" s="10" t="s">
        <v>204</v>
      </c>
      <c r="G189" s="10" t="s">
        <v>207</v>
      </c>
      <c r="H189" s="10" t="s">
        <v>205</v>
      </c>
      <c r="I189" s="10" t="s">
        <v>341</v>
      </c>
      <c r="J189" t="s">
        <v>208</v>
      </c>
      <c r="K189" t="s">
        <v>217</v>
      </c>
      <c r="L189" t="s">
        <v>222</v>
      </c>
      <c r="M189" s="4">
        <v>7.7</v>
      </c>
      <c r="N189" s="4">
        <v>82</v>
      </c>
      <c r="O189" s="4">
        <v>3.6</v>
      </c>
      <c r="P189" s="20">
        <f>(M189+(N189/10)+(O189*2))/3</f>
        <v>7.6999999999999993</v>
      </c>
      <c r="Q189" s="20">
        <f>(M189+C189+(N189/10)+(O189*2))/4</f>
        <v>7.4259999999999993</v>
      </c>
      <c r="R189" s="20">
        <f>(M189+C189+(N189/10))/3</f>
        <v>7.5013333333333323</v>
      </c>
      <c r="S189" s="27">
        <f>IF(C189 &gt; 9.25, 10, IF(C189 &gt; 6.75, ROUND(C189, 0), MAX(1, FLOOR(C189, 1))))</f>
        <v>6</v>
      </c>
      <c r="T189" s="20">
        <f>S189/2</f>
        <v>3</v>
      </c>
      <c r="U189" s="25">
        <v>45106</v>
      </c>
      <c r="V189">
        <v>1</v>
      </c>
      <c r="W189" s="25" t="s">
        <v>758</v>
      </c>
      <c r="X189">
        <v>108</v>
      </c>
      <c r="Y189" t="s">
        <v>911</v>
      </c>
      <c r="Z189" t="s">
        <v>825</v>
      </c>
      <c r="AA189" s="25" t="s">
        <v>411</v>
      </c>
      <c r="AB189">
        <v>2</v>
      </c>
    </row>
    <row r="190" spans="1:28" x14ac:dyDescent="0.25">
      <c r="A190" s="4">
        <v>189</v>
      </c>
      <c r="B190" s="4" t="s">
        <v>943</v>
      </c>
      <c r="C190" s="28">
        <v>6.6029999999999998</v>
      </c>
      <c r="D190" s="4">
        <v>2007</v>
      </c>
      <c r="E190" s="10" t="s">
        <v>109</v>
      </c>
      <c r="F190" s="10" t="s">
        <v>939</v>
      </c>
      <c r="G190" s="10" t="s">
        <v>940</v>
      </c>
      <c r="H190" s="10" t="s">
        <v>886</v>
      </c>
      <c r="I190" s="10" t="s">
        <v>764</v>
      </c>
      <c r="J190" s="10" t="s">
        <v>208</v>
      </c>
      <c r="K190" s="10" t="s">
        <v>223</v>
      </c>
      <c r="L190" t="s">
        <v>951</v>
      </c>
      <c r="M190" s="4">
        <v>6.3</v>
      </c>
      <c r="N190" s="4">
        <v>63</v>
      </c>
      <c r="O190" s="4">
        <v>3.2</v>
      </c>
      <c r="P190" s="20">
        <f>(M190+(N190/10)+(O190*2))/3</f>
        <v>6.333333333333333</v>
      </c>
      <c r="Q190" s="20">
        <f>(M190+C190+(N190/10)+(O190*2))/4</f>
        <v>6.4007500000000004</v>
      </c>
      <c r="R190" s="20">
        <f>(M190+C190+(N190/10))/3</f>
        <v>6.4009999999999998</v>
      </c>
      <c r="S190" s="27">
        <f>IF(C190 &gt; 9.25, 10, IF(C190 &gt; 6.75, ROUND(C190, 0), MAX(1, FLOOR(C190, 1))))</f>
        <v>6</v>
      </c>
      <c r="T190" s="20">
        <f>S190/2</f>
        <v>3</v>
      </c>
      <c r="U190" s="25">
        <v>46050</v>
      </c>
      <c r="V190">
        <v>1</v>
      </c>
      <c r="W190" s="25" t="s">
        <v>758</v>
      </c>
      <c r="X190">
        <v>139</v>
      </c>
      <c r="Y190" t="s">
        <v>911</v>
      </c>
      <c r="Z190" t="s">
        <v>907</v>
      </c>
      <c r="AA190" s="25" t="s">
        <v>938</v>
      </c>
      <c r="AB190">
        <v>3</v>
      </c>
    </row>
    <row r="191" spans="1:28" x14ac:dyDescent="0.25">
      <c r="A191" s="4">
        <v>190</v>
      </c>
      <c r="B191" s="4" t="s">
        <v>575</v>
      </c>
      <c r="C191" s="28">
        <v>6.6020000000000003</v>
      </c>
      <c r="D191" s="4">
        <v>2015</v>
      </c>
      <c r="E191" s="10" t="s">
        <v>576</v>
      </c>
      <c r="F191" s="10" t="s">
        <v>126</v>
      </c>
      <c r="G191" s="10" t="s">
        <v>104</v>
      </c>
      <c r="H191" s="10" t="s">
        <v>52</v>
      </c>
      <c r="I191" s="10" t="s">
        <v>36</v>
      </c>
      <c r="J191" s="10" t="s">
        <v>209</v>
      </c>
      <c r="K191" s="10" t="s">
        <v>219</v>
      </c>
      <c r="L191" s="10" t="s">
        <v>220</v>
      </c>
      <c r="M191" s="4">
        <v>7.8</v>
      </c>
      <c r="N191" s="4">
        <v>88</v>
      </c>
      <c r="O191" s="4">
        <v>3.8</v>
      </c>
      <c r="P191" s="20">
        <f>(M191+(N191/10)+(O191*2))/3</f>
        <v>8.0666666666666682</v>
      </c>
      <c r="Q191" s="20">
        <f>(M191+C191+(N191/10)+(O191*2))/4</f>
        <v>7.7004999999999999</v>
      </c>
      <c r="R191" s="20">
        <f>(M191+C191+(N191/10))/3</f>
        <v>7.7340000000000009</v>
      </c>
      <c r="S191" s="27">
        <f>IF(C191 &gt; 9.25, 10, IF(C191 &gt; 6.75, ROUND(C191, 0), MAX(1, FLOOR(C191, 1))))</f>
        <v>6</v>
      </c>
      <c r="T191" s="20">
        <f>S191/2</f>
        <v>3</v>
      </c>
      <c r="U191" s="25">
        <v>45988</v>
      </c>
      <c r="V191">
        <v>2</v>
      </c>
      <c r="W191" s="25" t="s">
        <v>758</v>
      </c>
      <c r="X191">
        <v>130</v>
      </c>
      <c r="Y191" t="s">
        <v>911</v>
      </c>
      <c r="Z191" t="s">
        <v>907</v>
      </c>
      <c r="AA191" s="25"/>
    </row>
    <row r="192" spans="1:28" x14ac:dyDescent="0.25">
      <c r="A192" s="4">
        <v>191</v>
      </c>
      <c r="B192" s="4" t="s">
        <v>1302</v>
      </c>
      <c r="C192" s="28">
        <v>6.601</v>
      </c>
      <c r="D192" s="4">
        <v>1979</v>
      </c>
      <c r="E192" s="10" t="s">
        <v>1303</v>
      </c>
      <c r="F192" s="10" t="s">
        <v>1304</v>
      </c>
      <c r="G192" s="10" t="s">
        <v>1305</v>
      </c>
      <c r="H192" s="10" t="s">
        <v>1307</v>
      </c>
      <c r="I192" s="10" t="s">
        <v>1306</v>
      </c>
      <c r="J192" s="10" t="s">
        <v>217</v>
      </c>
      <c r="K192" s="10" t="s">
        <v>215</v>
      </c>
      <c r="L192" s="10" t="s">
        <v>208</v>
      </c>
      <c r="M192" s="4">
        <v>7.5</v>
      </c>
      <c r="N192" s="4">
        <v>88</v>
      </c>
      <c r="O192" s="4">
        <v>3.8</v>
      </c>
      <c r="P192" s="20">
        <f>(M192+(N192/10)+(O192*2))/3</f>
        <v>7.9666666666666659</v>
      </c>
      <c r="Q192" s="20">
        <f>(M192+C192+(N192/10)+(O192*2))/4</f>
        <v>7.6252499999999994</v>
      </c>
      <c r="R192" s="20">
        <f>(M192+C192+(N192/10))/3</f>
        <v>7.6336666666666666</v>
      </c>
      <c r="S192" s="27">
        <f>IF(C192 &gt; 9.25, 10, IF(C192 &gt; 6.75, ROUND(C192, 0), MAX(1, FLOOR(C192, 1))))</f>
        <v>6</v>
      </c>
      <c r="T192" s="20">
        <f>S192/2</f>
        <v>3</v>
      </c>
      <c r="U192" s="25">
        <v>46233</v>
      </c>
      <c r="V192">
        <v>1</v>
      </c>
      <c r="W192" s="25" t="s">
        <v>758</v>
      </c>
      <c r="X192">
        <v>93</v>
      </c>
      <c r="Y192" t="s">
        <v>911</v>
      </c>
      <c r="Z192" t="s">
        <v>907</v>
      </c>
    </row>
    <row r="193" spans="1:28" x14ac:dyDescent="0.25">
      <c r="A193" s="4">
        <v>192</v>
      </c>
      <c r="B193" s="4" t="s">
        <v>1253</v>
      </c>
      <c r="C193" s="28">
        <v>6.5069999999999997</v>
      </c>
      <c r="D193" s="4">
        <v>2026</v>
      </c>
      <c r="E193" s="10" t="s">
        <v>1254</v>
      </c>
      <c r="F193" s="10" t="s">
        <v>1257</v>
      </c>
      <c r="G193" s="10" t="s">
        <v>1256</v>
      </c>
      <c r="H193" s="10" t="s">
        <v>1255</v>
      </c>
      <c r="I193" s="10" t="s">
        <v>706</v>
      </c>
      <c r="J193" s="10" t="s">
        <v>209</v>
      </c>
      <c r="K193" s="10" t="s">
        <v>247</v>
      </c>
      <c r="L193" s="10" t="s">
        <v>220</v>
      </c>
      <c r="M193" s="4">
        <v>7.4</v>
      </c>
      <c r="N193" s="4">
        <v>38</v>
      </c>
      <c r="O193" s="4">
        <v>3.6</v>
      </c>
      <c r="P193" s="20">
        <f>(M193+(N193/10)+(O193*2))/3</f>
        <v>6.1333333333333329</v>
      </c>
      <c r="Q193" s="20">
        <f>(M193+C193+(N193/10)+(O193*2))/4</f>
        <v>6.22675</v>
      </c>
      <c r="R193" s="20">
        <f>(M193+C193+(N193/10))/3</f>
        <v>5.9023333333333339</v>
      </c>
      <c r="S193" s="27">
        <f>IF(C193 &gt; 9.25, 10, IF(C193 &gt; 6.75, ROUND(C193, 0), MAX(1, FLOOR(C193, 1))))</f>
        <v>6</v>
      </c>
      <c r="T193" s="20">
        <f>S193/2</f>
        <v>3</v>
      </c>
      <c r="U193" s="25">
        <v>46215</v>
      </c>
      <c r="V193">
        <v>1</v>
      </c>
      <c r="W193" s="25" t="s">
        <v>758</v>
      </c>
      <c r="X193">
        <v>127</v>
      </c>
      <c r="Y193" t="s">
        <v>918</v>
      </c>
      <c r="Z193" t="s">
        <v>920</v>
      </c>
    </row>
    <row r="194" spans="1:28" x14ac:dyDescent="0.25">
      <c r="A194" s="4">
        <v>193</v>
      </c>
      <c r="B194" s="4" t="s">
        <v>1149</v>
      </c>
      <c r="C194" s="28">
        <v>6.5060000000000002</v>
      </c>
      <c r="D194" s="4">
        <v>2018</v>
      </c>
      <c r="E194" s="10" t="s">
        <v>105</v>
      </c>
      <c r="F194" s="10" t="s">
        <v>1098</v>
      </c>
      <c r="G194" s="10" t="s">
        <v>338</v>
      </c>
      <c r="H194" s="10" t="s">
        <v>1099</v>
      </c>
      <c r="I194" s="10" t="s">
        <v>1100</v>
      </c>
      <c r="J194" s="10" t="s">
        <v>208</v>
      </c>
      <c r="K194" s="10" t="s">
        <v>223</v>
      </c>
      <c r="L194" s="10" t="s">
        <v>951</v>
      </c>
      <c r="M194" s="4">
        <v>7</v>
      </c>
      <c r="N194" s="4">
        <v>87</v>
      </c>
      <c r="O194" s="4">
        <v>2.8</v>
      </c>
      <c r="P194" s="20">
        <f>(M194+(N194/10)+(O194*2))/3</f>
        <v>7.0999999999999988</v>
      </c>
      <c r="Q194" s="20">
        <f>(M194+C194+(N194/10)+(O194*2))/4</f>
        <v>6.9514999999999993</v>
      </c>
      <c r="R194" s="20">
        <f>(M194+C194+(N194/10))/3</f>
        <v>7.4020000000000001</v>
      </c>
      <c r="S194" s="27">
        <f>IF(C194 &gt; 9.25, 10, IF(C194 &gt; 6.75, ROUND(C194, 0), MAX(1, FLOOR(C194, 1))))</f>
        <v>6</v>
      </c>
      <c r="T194" s="20">
        <f>S194/2</f>
        <v>3</v>
      </c>
      <c r="U194" s="25">
        <v>46188</v>
      </c>
      <c r="V194">
        <v>1</v>
      </c>
      <c r="W194" s="25" t="s">
        <v>758</v>
      </c>
      <c r="X194">
        <v>118</v>
      </c>
      <c r="Y194" t="s">
        <v>911</v>
      </c>
      <c r="Z194" t="s">
        <v>907</v>
      </c>
      <c r="AA194" t="s">
        <v>1097</v>
      </c>
      <c r="AB194">
        <v>2</v>
      </c>
    </row>
    <row r="195" spans="1:28" x14ac:dyDescent="0.25">
      <c r="A195" s="4">
        <v>194</v>
      </c>
      <c r="B195" s="4" t="s">
        <v>1167</v>
      </c>
      <c r="C195" s="28">
        <v>6.5049999999999999</v>
      </c>
      <c r="D195" s="4">
        <v>1985</v>
      </c>
      <c r="E195" s="10" t="s">
        <v>1151</v>
      </c>
      <c r="F195" s="10" t="s">
        <v>1152</v>
      </c>
      <c r="G195" s="10" t="s">
        <v>1153</v>
      </c>
      <c r="H195" s="10" t="s">
        <v>1156</v>
      </c>
      <c r="I195" s="10" t="s">
        <v>1151</v>
      </c>
      <c r="J195" s="10" t="s">
        <v>210</v>
      </c>
      <c r="K195" s="10" t="s">
        <v>209</v>
      </c>
      <c r="L195" s="10" t="s">
        <v>1155</v>
      </c>
      <c r="M195" s="4">
        <v>6.9</v>
      </c>
      <c r="N195" s="4">
        <v>39</v>
      </c>
      <c r="O195" s="4">
        <v>3.7</v>
      </c>
      <c r="P195" s="20">
        <f>(M195+(N195/10)+(O195*2))/3</f>
        <v>6.0666666666666673</v>
      </c>
      <c r="Q195" s="20">
        <f>(M195+C195+(N195/10)+(O195*2))/4</f>
        <v>6.1762499999999996</v>
      </c>
      <c r="R195" s="20">
        <f>(M195+C195+(N195/10))/3</f>
        <v>5.7683333333333335</v>
      </c>
      <c r="S195" s="27">
        <f>IF(C195 &gt; 9.25, 10, IF(C195 &gt; 6.75, ROUND(C195, 0), MAX(1, FLOOR(C195, 1))))</f>
        <v>6</v>
      </c>
      <c r="T195" s="20">
        <f>S195/2</f>
        <v>3</v>
      </c>
      <c r="U195" s="25">
        <v>46198</v>
      </c>
      <c r="V195">
        <v>1</v>
      </c>
      <c r="W195" s="25" t="s">
        <v>758</v>
      </c>
      <c r="X195">
        <v>91</v>
      </c>
      <c r="Y195" t="s">
        <v>911</v>
      </c>
      <c r="Z195" t="s">
        <v>907</v>
      </c>
      <c r="AA195" t="s">
        <v>1150</v>
      </c>
      <c r="AB195">
        <v>4</v>
      </c>
    </row>
    <row r="196" spans="1:28" x14ac:dyDescent="0.25">
      <c r="A196" s="4">
        <v>195</v>
      </c>
      <c r="B196" s="4" t="s">
        <v>703</v>
      </c>
      <c r="C196" s="28">
        <v>6.5039999999999996</v>
      </c>
      <c r="D196" s="4">
        <v>1995</v>
      </c>
      <c r="E196" s="10" t="s">
        <v>53</v>
      </c>
      <c r="F196" s="10" t="s">
        <v>509</v>
      </c>
      <c r="G196" s="10" t="s">
        <v>780</v>
      </c>
      <c r="H196" s="10" t="s">
        <v>811</v>
      </c>
      <c r="I196" s="10" t="s">
        <v>702</v>
      </c>
      <c r="J196" s="10" t="s">
        <v>215</v>
      </c>
      <c r="K196" s="10" t="s">
        <v>209</v>
      </c>
      <c r="L196" s="10" t="s">
        <v>216</v>
      </c>
      <c r="M196" s="4">
        <v>8.5</v>
      </c>
      <c r="N196" s="4">
        <v>87</v>
      </c>
      <c r="O196" s="4">
        <v>4.0999999999999996</v>
      </c>
      <c r="P196" s="20">
        <f>(M196+(N196/10)+(O196*2))/3</f>
        <v>8.4666666666666668</v>
      </c>
      <c r="Q196" s="20">
        <f>(M196+C196+(N196/10)+(O196*2))/4</f>
        <v>7.976</v>
      </c>
      <c r="R196" s="20">
        <f>(M196+C196+(N196/10))/3</f>
        <v>7.9013333333333335</v>
      </c>
      <c r="S196" s="27">
        <f>IF(C196 &gt; 9.25, 10, IF(C196 &gt; 6.75, ROUND(C196, 0), MAX(1, FLOOR(C196, 1))))</f>
        <v>6</v>
      </c>
      <c r="T196" s="20">
        <f>S196/2</f>
        <v>3</v>
      </c>
      <c r="U196" s="25">
        <v>45925</v>
      </c>
      <c r="V196">
        <v>1</v>
      </c>
      <c r="W196" s="25" t="s">
        <v>758</v>
      </c>
      <c r="X196">
        <v>106</v>
      </c>
      <c r="Y196" t="s">
        <v>911</v>
      </c>
      <c r="Z196" t="s">
        <v>825</v>
      </c>
      <c r="AA196" s="25"/>
    </row>
    <row r="197" spans="1:28" x14ac:dyDescent="0.25">
      <c r="A197" s="4">
        <v>196</v>
      </c>
      <c r="B197" s="4" t="s">
        <v>476</v>
      </c>
      <c r="C197" s="28">
        <v>6.5030000000000001</v>
      </c>
      <c r="D197" s="4">
        <v>2010</v>
      </c>
      <c r="E197" s="10" t="s">
        <v>19</v>
      </c>
      <c r="F197" s="10" t="s">
        <v>477</v>
      </c>
      <c r="G197" s="10" t="s">
        <v>478</v>
      </c>
      <c r="H197" s="10" t="s">
        <v>479</v>
      </c>
      <c r="I197" s="10" t="s">
        <v>341</v>
      </c>
      <c r="J197" s="10" t="s">
        <v>226</v>
      </c>
      <c r="K197" s="10" t="s">
        <v>209</v>
      </c>
      <c r="L197" s="10" t="s">
        <v>217</v>
      </c>
      <c r="M197" s="4">
        <v>6.8</v>
      </c>
      <c r="N197" s="4">
        <v>53</v>
      </c>
      <c r="O197" s="4">
        <v>3.1</v>
      </c>
      <c r="P197" s="20">
        <f>(M197+(N197/10)+(O197*2))/3</f>
        <v>6.1000000000000005</v>
      </c>
      <c r="Q197" s="20">
        <f>(M197+C197+(N197/10)+(O197*2))/4</f>
        <v>6.2007500000000002</v>
      </c>
      <c r="R197" s="20">
        <f>(M197+C197+(N197/10))/3</f>
        <v>6.2010000000000005</v>
      </c>
      <c r="S197" s="27">
        <f>IF(C197 &gt; 9.25, 10, IF(C197 &gt; 6.75, ROUND(C197, 0), MAX(1, FLOOR(C197, 1))))</f>
        <v>6</v>
      </c>
      <c r="T197" s="20">
        <f>S197/2</f>
        <v>3</v>
      </c>
      <c r="U197" s="25">
        <v>45145</v>
      </c>
      <c r="V197">
        <v>1</v>
      </c>
      <c r="W197" s="25" t="s">
        <v>758</v>
      </c>
      <c r="X197">
        <v>115</v>
      </c>
      <c r="Y197" t="s">
        <v>911</v>
      </c>
      <c r="Z197" t="s">
        <v>825</v>
      </c>
      <c r="AA197" s="25"/>
    </row>
    <row r="198" spans="1:28" x14ac:dyDescent="0.25">
      <c r="A198" s="4">
        <v>197</v>
      </c>
      <c r="B198" s="4" t="s">
        <v>480</v>
      </c>
      <c r="C198" s="28">
        <v>6.5019999999999998</v>
      </c>
      <c r="D198" s="4">
        <v>1998</v>
      </c>
      <c r="E198" s="6" t="s">
        <v>484</v>
      </c>
      <c r="F198" s="10" t="s">
        <v>485</v>
      </c>
      <c r="G198" s="10" t="s">
        <v>486</v>
      </c>
      <c r="H198" s="10" t="s">
        <v>487</v>
      </c>
      <c r="I198" s="10" t="s">
        <v>488</v>
      </c>
      <c r="J198" s="10" t="s">
        <v>219</v>
      </c>
      <c r="K198" s="10" t="s">
        <v>217</v>
      </c>
      <c r="L198" s="10" t="s">
        <v>215</v>
      </c>
      <c r="M198" s="4">
        <v>7</v>
      </c>
      <c r="N198" s="4">
        <v>61</v>
      </c>
      <c r="O198" s="4">
        <v>3.6</v>
      </c>
      <c r="P198" s="20">
        <f>(M198+(N198/10)+(O198*2))/3</f>
        <v>6.7666666666666666</v>
      </c>
      <c r="Q198" s="20">
        <f>(M198+C198+(N198/10)+(O198*2))/4</f>
        <v>6.700499999999999</v>
      </c>
      <c r="R198" s="20">
        <f>(M198+C198+(N198/10))/3</f>
        <v>6.5339999999999989</v>
      </c>
      <c r="S198" s="27">
        <f>IF(C198 &gt; 9.25, 10, IF(C198 &gt; 6.75, ROUND(C198, 0), MAX(1, FLOOR(C198, 1))))</f>
        <v>6</v>
      </c>
      <c r="T198" s="20">
        <f>S198/2</f>
        <v>3</v>
      </c>
      <c r="U198" s="25">
        <v>45145</v>
      </c>
      <c r="V198">
        <v>1</v>
      </c>
      <c r="W198" s="25" t="s">
        <v>758</v>
      </c>
      <c r="X198">
        <v>98</v>
      </c>
      <c r="Y198" t="s">
        <v>911</v>
      </c>
      <c r="Z198" t="s">
        <v>825</v>
      </c>
      <c r="AA198" s="25" t="s">
        <v>480</v>
      </c>
      <c r="AB198">
        <v>1</v>
      </c>
    </row>
    <row r="199" spans="1:28" x14ac:dyDescent="0.25">
      <c r="A199" s="4">
        <v>198</v>
      </c>
      <c r="B199" s="4" t="s">
        <v>1019</v>
      </c>
      <c r="C199" s="28">
        <v>6.5010000000000003</v>
      </c>
      <c r="D199" s="4">
        <v>2011</v>
      </c>
      <c r="E199" s="10" t="s">
        <v>347</v>
      </c>
      <c r="F199" s="10" t="s">
        <v>1020</v>
      </c>
      <c r="G199" s="10" t="s">
        <v>1021</v>
      </c>
      <c r="H199" s="10" t="s">
        <v>251</v>
      </c>
      <c r="I199" s="10" t="s">
        <v>763</v>
      </c>
      <c r="J199" s="10" t="s">
        <v>208</v>
      </c>
      <c r="K199" s="10" t="s">
        <v>223</v>
      </c>
      <c r="L199" s="10" t="s">
        <v>951</v>
      </c>
      <c r="M199" s="4">
        <v>7</v>
      </c>
      <c r="N199" s="4">
        <v>77</v>
      </c>
      <c r="O199" s="4">
        <v>2.8</v>
      </c>
      <c r="P199" s="20">
        <f>(M199+(N199/10)+(O199*2))/3</f>
        <v>6.7666666666666657</v>
      </c>
      <c r="Q199" s="20">
        <f>(M199+C199+(N199/10)+(O199*2))/4</f>
        <v>6.7002500000000005</v>
      </c>
      <c r="R199" s="20">
        <f>(M199+C199+(N199/10))/3</f>
        <v>7.0670000000000002</v>
      </c>
      <c r="S199" s="27">
        <f>IF(C199 &gt; 9.25, 10, IF(C199 &gt; 6.75, ROUND(C199, 0), MAX(1, FLOOR(C199, 1))))</f>
        <v>6</v>
      </c>
      <c r="T199" s="20">
        <f>S199/2</f>
        <v>3</v>
      </c>
      <c r="U199" s="25">
        <v>46080</v>
      </c>
      <c r="V199">
        <v>1</v>
      </c>
      <c r="W199" s="25" t="s">
        <v>758</v>
      </c>
      <c r="X199">
        <v>115</v>
      </c>
      <c r="Y199" t="s">
        <v>911</v>
      </c>
      <c r="Z199" t="s">
        <v>907</v>
      </c>
      <c r="AA199" t="s">
        <v>1019</v>
      </c>
      <c r="AB199">
        <v>1</v>
      </c>
    </row>
    <row r="200" spans="1:28" x14ac:dyDescent="0.25">
      <c r="A200" s="4">
        <v>199</v>
      </c>
      <c r="B200" s="4" t="s">
        <v>759</v>
      </c>
      <c r="C200" s="28">
        <v>6.407</v>
      </c>
      <c r="D200" s="4">
        <v>1989</v>
      </c>
      <c r="E200" s="10" t="s">
        <v>21</v>
      </c>
      <c r="F200" s="10" t="s">
        <v>803</v>
      </c>
      <c r="G200" s="10" t="s">
        <v>773</v>
      </c>
      <c r="H200" s="10" t="s">
        <v>802</v>
      </c>
      <c r="I200" s="10" t="s">
        <v>183</v>
      </c>
      <c r="J200" s="10" t="s">
        <v>209</v>
      </c>
      <c r="K200" s="10" t="s">
        <v>219</v>
      </c>
      <c r="M200" s="4">
        <v>8.1</v>
      </c>
      <c r="N200" s="4">
        <v>85</v>
      </c>
      <c r="O200" s="4">
        <v>4.3</v>
      </c>
      <c r="P200" s="20">
        <f>(M200+(N200/10)+(O200*2))/3</f>
        <v>8.4</v>
      </c>
      <c r="Q200" s="20">
        <f>(M200+C200+(N200/10)+(O200*2))/4</f>
        <v>7.9017499999999998</v>
      </c>
      <c r="R200" s="20">
        <f>(M200+C200+(N200/10))/3</f>
        <v>7.6689999999999996</v>
      </c>
      <c r="S200" s="27">
        <f>IF(C200 &gt; 9.25, 10, IF(C200 &gt; 6.75, ROUND(C200, 0), MAX(1, FLOOR(C200, 1))))</f>
        <v>6</v>
      </c>
      <c r="T200" s="20">
        <f>S200/2</f>
        <v>3</v>
      </c>
      <c r="U200" s="25">
        <v>45954</v>
      </c>
      <c r="V200">
        <v>1</v>
      </c>
      <c r="W200" s="25" t="s">
        <v>758</v>
      </c>
      <c r="X200">
        <v>128</v>
      </c>
      <c r="Y200" t="s">
        <v>911</v>
      </c>
      <c r="Z200" t="s">
        <v>825</v>
      </c>
      <c r="AA200" s="25"/>
    </row>
    <row r="201" spans="1:28" x14ac:dyDescent="0.25">
      <c r="A201" s="4">
        <v>200</v>
      </c>
      <c r="B201" s="4" t="s">
        <v>739</v>
      </c>
      <c r="C201" s="28">
        <v>6.4059999999999997</v>
      </c>
      <c r="D201" s="4">
        <v>2005</v>
      </c>
      <c r="E201" s="5" t="s">
        <v>402</v>
      </c>
      <c r="F201" s="10" t="s">
        <v>1195</v>
      </c>
      <c r="G201" s="10" t="s">
        <v>403</v>
      </c>
      <c r="H201" s="10" t="s">
        <v>404</v>
      </c>
      <c r="I201" s="10" t="s">
        <v>319</v>
      </c>
      <c r="J201" s="10" t="s">
        <v>210</v>
      </c>
      <c r="K201" s="10" t="s">
        <v>209</v>
      </c>
      <c r="L201" s="10" t="s">
        <v>220</v>
      </c>
      <c r="M201" s="4">
        <v>7.4</v>
      </c>
      <c r="N201" s="4">
        <v>63</v>
      </c>
      <c r="O201" s="4">
        <v>3.5</v>
      </c>
      <c r="P201" s="20">
        <f>(M201+(N201/10)+(O201*2))/3</f>
        <v>6.8999999999999995</v>
      </c>
      <c r="Q201" s="20">
        <f>(M201+C201+(N201/10)+(O201*2))/4</f>
        <v>6.7765000000000004</v>
      </c>
      <c r="R201" s="20">
        <f>(M201+C201+(N201/10))/3</f>
        <v>6.7020000000000008</v>
      </c>
      <c r="S201" s="27">
        <f>IF(C201 &gt; 9.25, 10, IF(C201 &gt; 6.75, ROUND(C201, 0), MAX(1, FLOOR(C201, 1))))</f>
        <v>6</v>
      </c>
      <c r="T201" s="20">
        <f>S201/2</f>
        <v>3</v>
      </c>
      <c r="U201" s="25">
        <v>45283</v>
      </c>
      <c r="V201">
        <v>1</v>
      </c>
      <c r="W201" s="25" t="s">
        <v>758</v>
      </c>
      <c r="X201">
        <v>120</v>
      </c>
      <c r="Y201" t="s">
        <v>923</v>
      </c>
      <c r="Z201" t="s">
        <v>914</v>
      </c>
      <c r="AA201" s="25"/>
    </row>
    <row r="202" spans="1:28" x14ac:dyDescent="0.25">
      <c r="A202" s="4">
        <v>201</v>
      </c>
      <c r="B202" s="4" t="s">
        <v>1214</v>
      </c>
      <c r="C202" s="28">
        <v>6.4050000000000002</v>
      </c>
      <c r="D202" s="4">
        <v>2006</v>
      </c>
      <c r="E202" s="10" t="s">
        <v>1151</v>
      </c>
      <c r="F202" s="10" t="s">
        <v>1153</v>
      </c>
      <c r="G202" s="10" t="s">
        <v>1215</v>
      </c>
      <c r="H202" s="10" t="s">
        <v>1216</v>
      </c>
      <c r="I202" s="10" t="s">
        <v>1151</v>
      </c>
      <c r="J202" s="10" t="s">
        <v>210</v>
      </c>
      <c r="K202" s="10" t="s">
        <v>209</v>
      </c>
      <c r="L202" t="s">
        <v>1155</v>
      </c>
      <c r="M202" s="4">
        <v>7.1</v>
      </c>
      <c r="N202" s="4">
        <v>78</v>
      </c>
      <c r="O202" s="4">
        <v>3.5</v>
      </c>
      <c r="P202" s="20">
        <f>(M202+(N202/10)+(O202*2))/3</f>
        <v>7.3</v>
      </c>
      <c r="Q202" s="20">
        <f>(M202+C202+(N202/10)+(O202*2))/4</f>
        <v>7.0762499999999999</v>
      </c>
      <c r="R202" s="20">
        <f>(M202+C202+(N202/10))/3</f>
        <v>7.1016666666666666</v>
      </c>
      <c r="S202" s="27">
        <f>IF(C202 &gt; 9.25, 10, IF(C202 &gt; 6.75, ROUND(C202, 0), MAX(1, FLOOR(C202, 1))))</f>
        <v>6</v>
      </c>
      <c r="T202" s="20">
        <f>S202/2</f>
        <v>3</v>
      </c>
      <c r="U202" s="25">
        <v>46200</v>
      </c>
      <c r="V202">
        <v>1</v>
      </c>
      <c r="W202" s="25" t="s">
        <v>758</v>
      </c>
      <c r="Y202" t="s">
        <v>911</v>
      </c>
      <c r="Z202" t="s">
        <v>907</v>
      </c>
      <c r="AA202" t="s">
        <v>1150</v>
      </c>
      <c r="AB202">
        <v>6</v>
      </c>
    </row>
    <row r="203" spans="1:28" x14ac:dyDescent="0.25">
      <c r="A203" s="4">
        <v>202</v>
      </c>
      <c r="B203" s="4" t="s">
        <v>577</v>
      </c>
      <c r="C203" s="28">
        <v>6.4039999999999999</v>
      </c>
      <c r="D203" s="4">
        <v>2016</v>
      </c>
      <c r="E203" s="10" t="s">
        <v>13</v>
      </c>
      <c r="F203" s="10" t="s">
        <v>27</v>
      </c>
      <c r="G203" s="10" t="s">
        <v>151</v>
      </c>
      <c r="H203" s="10" t="s">
        <v>578</v>
      </c>
      <c r="I203" s="10" t="s">
        <v>155</v>
      </c>
      <c r="J203" s="10" t="s">
        <v>219</v>
      </c>
      <c r="K203" s="10" t="s">
        <v>215</v>
      </c>
      <c r="L203" s="10" t="s">
        <v>209</v>
      </c>
      <c r="M203" s="4">
        <v>7.1</v>
      </c>
      <c r="N203" s="4">
        <v>61</v>
      </c>
      <c r="O203" s="4">
        <v>3.5</v>
      </c>
      <c r="P203" s="20">
        <f>(M203+(N203/10)+(O203*2))/3</f>
        <v>6.7333333333333334</v>
      </c>
      <c r="Q203" s="20">
        <f>(M203+C203+(N203/10)+(O203*2))/4</f>
        <v>6.6509999999999998</v>
      </c>
      <c r="R203" s="20">
        <f>(M203+C203+(N203/10))/3</f>
        <v>6.5346666666666664</v>
      </c>
      <c r="S203" s="27">
        <f>IF(C203 &gt; 9.25, 10, IF(C203 &gt; 6.75, ROUND(C203, 0), MAX(1, FLOOR(C203, 1))))</f>
        <v>6</v>
      </c>
      <c r="T203" s="20">
        <f>S203/2</f>
        <v>3</v>
      </c>
      <c r="U203" s="25">
        <v>45428</v>
      </c>
      <c r="V203">
        <v>1</v>
      </c>
      <c r="W203" s="25" t="s">
        <v>758</v>
      </c>
      <c r="X203">
        <v>114</v>
      </c>
      <c r="Y203" t="s">
        <v>911</v>
      </c>
      <c r="Z203" t="s">
        <v>825</v>
      </c>
      <c r="AA203" s="25"/>
    </row>
    <row r="204" spans="1:28" x14ac:dyDescent="0.25">
      <c r="A204" s="4">
        <v>203</v>
      </c>
      <c r="B204" s="4" t="s">
        <v>722</v>
      </c>
      <c r="C204" s="28">
        <v>6.4029999999999996</v>
      </c>
      <c r="D204" s="4">
        <v>1999</v>
      </c>
      <c r="E204" s="5" t="s">
        <v>19</v>
      </c>
      <c r="F204" s="10" t="s">
        <v>1177</v>
      </c>
      <c r="G204" s="10" t="s">
        <v>772</v>
      </c>
      <c r="H204" s="10" t="s">
        <v>784</v>
      </c>
      <c r="I204" s="10" t="s">
        <v>721</v>
      </c>
      <c r="J204" s="10" t="s">
        <v>209</v>
      </c>
      <c r="K204" s="10" t="s">
        <v>215</v>
      </c>
      <c r="L204" s="10" t="s">
        <v>217</v>
      </c>
      <c r="M204" s="4">
        <v>7.4</v>
      </c>
      <c r="N204" s="4">
        <v>85</v>
      </c>
      <c r="O204" s="4">
        <v>3.9</v>
      </c>
      <c r="P204" s="20">
        <f>(M204+(N204/10)+(O204*2))/3</f>
        <v>7.8999999999999995</v>
      </c>
      <c r="Q204" s="20">
        <f>(M204+C204+(N204/10)+(O204*2))/4</f>
        <v>7.5257500000000004</v>
      </c>
      <c r="R204" s="20">
        <f>(M204+C204+(N204/10))/3</f>
        <v>7.4343333333333339</v>
      </c>
      <c r="S204" s="27">
        <f>IF(C204 &gt; 9.25, 10, IF(C204 &gt; 6.75, ROUND(C204, 0), MAX(1, FLOOR(C204, 1))))</f>
        <v>6</v>
      </c>
      <c r="T204" s="20">
        <f>S204/2</f>
        <v>3</v>
      </c>
      <c r="U204" s="25">
        <v>46018</v>
      </c>
      <c r="V204">
        <v>1</v>
      </c>
      <c r="W204" s="25" t="s">
        <v>758</v>
      </c>
      <c r="X204">
        <v>139</v>
      </c>
      <c r="Y204" t="s">
        <v>911</v>
      </c>
      <c r="Z204" t="s">
        <v>907</v>
      </c>
      <c r="AA204" s="25"/>
    </row>
    <row r="205" spans="1:28" x14ac:dyDescent="0.25">
      <c r="A205" s="4">
        <v>204</v>
      </c>
      <c r="B205" s="4" t="s">
        <v>749</v>
      </c>
      <c r="C205" s="28">
        <v>6.4020000000000001</v>
      </c>
      <c r="D205" s="4">
        <v>2015</v>
      </c>
      <c r="E205" s="10" t="s">
        <v>390</v>
      </c>
      <c r="F205" s="10" t="s">
        <v>750</v>
      </c>
      <c r="G205" s="10" t="s">
        <v>416</v>
      </c>
      <c r="H205" s="10" t="s">
        <v>751</v>
      </c>
      <c r="I205" s="10" t="s">
        <v>710</v>
      </c>
      <c r="J205" s="10" t="s">
        <v>208</v>
      </c>
      <c r="K205" s="10" t="s">
        <v>222</v>
      </c>
      <c r="L205" s="10" t="s">
        <v>219</v>
      </c>
      <c r="M205" s="4">
        <v>7.2</v>
      </c>
      <c r="N205" s="4">
        <v>67</v>
      </c>
      <c r="O205" s="4">
        <v>3.5</v>
      </c>
      <c r="P205" s="20">
        <f>(M205+(N205/10)+(O205*2))/3</f>
        <v>6.9666666666666659</v>
      </c>
      <c r="Q205" s="20">
        <f>(M205+C205+(N205/10)+(O205*2))/4</f>
        <v>6.8254999999999999</v>
      </c>
      <c r="R205" s="20">
        <f>(M205+C205+(N205/10))/3</f>
        <v>6.7673333333333332</v>
      </c>
      <c r="S205" s="27">
        <f>IF(C205 &gt; 9.25, 10, IF(C205 &gt; 6.75, ROUND(C205, 0), MAX(1, FLOOR(C205, 1))))</f>
        <v>6</v>
      </c>
      <c r="T205" s="20">
        <f>S205/2</f>
        <v>3</v>
      </c>
      <c r="U205" s="25">
        <v>45764</v>
      </c>
      <c r="V205">
        <v>1</v>
      </c>
      <c r="W205" s="25" t="s">
        <v>758</v>
      </c>
      <c r="X205">
        <v>116</v>
      </c>
      <c r="Y205" t="s">
        <v>911</v>
      </c>
      <c r="Z205" t="s">
        <v>917</v>
      </c>
      <c r="AA205" s="25"/>
    </row>
    <row r="206" spans="1:28" x14ac:dyDescent="0.25">
      <c r="A206" s="4">
        <v>205</v>
      </c>
      <c r="B206" s="4" t="s">
        <v>1223</v>
      </c>
      <c r="C206" s="28">
        <v>6.4009999999999998</v>
      </c>
      <c r="D206" s="4">
        <v>2022</v>
      </c>
      <c r="E206" s="10" t="s">
        <v>1138</v>
      </c>
      <c r="F206" s="10" t="s">
        <v>1224</v>
      </c>
      <c r="G206" s="10" t="s">
        <v>1139</v>
      </c>
      <c r="H206" s="10" t="s">
        <v>1225</v>
      </c>
      <c r="I206" s="10" t="s">
        <v>1140</v>
      </c>
      <c r="J206" s="10" t="s">
        <v>208</v>
      </c>
      <c r="K206" s="10" t="s">
        <v>223</v>
      </c>
      <c r="L206" s="10" t="s">
        <v>951</v>
      </c>
      <c r="M206" s="4">
        <v>6.6</v>
      </c>
      <c r="N206" s="4">
        <v>84</v>
      </c>
      <c r="O206" s="4">
        <v>3.3</v>
      </c>
      <c r="P206" s="20">
        <f>(M206+(N206/10)+(O206*2))/3</f>
        <v>7.2</v>
      </c>
      <c r="Q206" s="20">
        <f>(M206+C206+(N206/10)+(O206*2))/4</f>
        <v>7.0002499999999994</v>
      </c>
      <c r="R206" s="20">
        <f>(M206+C206+(N206/10))/3</f>
        <v>7.1336666666666666</v>
      </c>
      <c r="S206" s="27">
        <f>IF(C206 &gt; 9.25, 10, IF(C206 &gt; 6.75, ROUND(C206, 0), MAX(1, FLOOR(C206, 1))))</f>
        <v>6</v>
      </c>
      <c r="T206" s="20">
        <f>S206/2</f>
        <v>3</v>
      </c>
      <c r="U206" s="25">
        <v>46206</v>
      </c>
      <c r="V206">
        <v>1</v>
      </c>
      <c r="W206" s="25" t="s">
        <v>758</v>
      </c>
      <c r="X206">
        <v>161</v>
      </c>
      <c r="Y206" t="s">
        <v>911</v>
      </c>
      <c r="Z206" t="s">
        <v>907</v>
      </c>
      <c r="AA206" t="s">
        <v>1136</v>
      </c>
      <c r="AB206">
        <v>2</v>
      </c>
    </row>
    <row r="207" spans="1:28" x14ac:dyDescent="0.25">
      <c r="A207" s="4">
        <v>206</v>
      </c>
      <c r="B207" s="4" t="s">
        <v>947</v>
      </c>
      <c r="C207" s="28">
        <v>6.3070000000000004</v>
      </c>
      <c r="D207" s="4">
        <v>2016</v>
      </c>
      <c r="E207" s="10" t="s">
        <v>63</v>
      </c>
      <c r="F207" s="10" t="s">
        <v>948</v>
      </c>
      <c r="G207" s="10" t="s">
        <v>282</v>
      </c>
      <c r="H207" s="10" t="s">
        <v>569</v>
      </c>
      <c r="I207" s="10" t="s">
        <v>409</v>
      </c>
      <c r="J207" s="10" t="s">
        <v>209</v>
      </c>
      <c r="K207" s="10" t="s">
        <v>227</v>
      </c>
      <c r="L207" s="10" t="s">
        <v>220</v>
      </c>
      <c r="M207" s="4">
        <v>7.4</v>
      </c>
      <c r="N207" s="4">
        <v>85</v>
      </c>
      <c r="O207" s="4">
        <v>3.5</v>
      </c>
      <c r="P207" s="20">
        <f>(M207+(N207/10)+(O207*2))/3</f>
        <v>7.6333333333333329</v>
      </c>
      <c r="Q207" s="20">
        <f>(M207+C207+(N207/10)+(O207*2))/4</f>
        <v>7.3017500000000002</v>
      </c>
      <c r="R207" s="20">
        <f>(M207+C207+(N207/10))/3</f>
        <v>7.4023333333333339</v>
      </c>
      <c r="S207" s="27">
        <f>IF(C207 &gt; 9.25, 10, IF(C207 &gt; 6.75, ROUND(C207, 0), MAX(1, FLOOR(C207, 1))))</f>
        <v>6</v>
      </c>
      <c r="T207" s="20">
        <f>S207/2</f>
        <v>3</v>
      </c>
      <c r="U207" s="25">
        <v>46051</v>
      </c>
      <c r="V207">
        <v>1</v>
      </c>
      <c r="W207" s="25" t="s">
        <v>758</v>
      </c>
      <c r="X207">
        <v>96</v>
      </c>
      <c r="Y207" t="s">
        <v>911</v>
      </c>
      <c r="Z207" t="s">
        <v>907</v>
      </c>
      <c r="AA207" s="25"/>
    </row>
    <row r="208" spans="1:28" x14ac:dyDescent="0.25">
      <c r="A208" s="4">
        <v>207</v>
      </c>
      <c r="B208" s="4" t="s">
        <v>832</v>
      </c>
      <c r="C208" s="28">
        <v>6.306</v>
      </c>
      <c r="D208" s="4">
        <v>2007</v>
      </c>
      <c r="E208" s="5" t="s">
        <v>91</v>
      </c>
      <c r="F208" s="10" t="s">
        <v>776</v>
      </c>
      <c r="G208" s="10" t="s">
        <v>53</v>
      </c>
      <c r="H208" s="10" t="s">
        <v>413</v>
      </c>
      <c r="I208" s="10" t="s">
        <v>159</v>
      </c>
      <c r="J208" s="10" t="s">
        <v>662</v>
      </c>
      <c r="K208" s="10" t="s">
        <v>225</v>
      </c>
      <c r="L208" s="10" t="s">
        <v>219</v>
      </c>
      <c r="M208" s="4">
        <v>5.7</v>
      </c>
      <c r="N208" s="4">
        <v>20</v>
      </c>
      <c r="O208" s="4">
        <v>2.6</v>
      </c>
      <c r="P208" s="20">
        <f>(M208+(N208/10)+(O208*2))/3</f>
        <v>4.3</v>
      </c>
      <c r="Q208" s="20">
        <f>(M208+C208+(N208/10)+(O208*2))/4</f>
        <v>4.8014999999999999</v>
      </c>
      <c r="R208" s="20">
        <f>(M208+C208+(N208/10))/3</f>
        <v>4.6686666666666667</v>
      </c>
      <c r="S208" s="27">
        <f>IF(C208 &gt; 9.25, 10, IF(C208 &gt; 6.75, ROUND(C208, 0), MAX(1, FLOOR(C208, 1))))</f>
        <v>6</v>
      </c>
      <c r="T208" s="20">
        <f>S208/2</f>
        <v>3</v>
      </c>
      <c r="U208" s="25">
        <v>46015</v>
      </c>
      <c r="V208">
        <v>1</v>
      </c>
      <c r="W208" s="25" t="s">
        <v>758</v>
      </c>
      <c r="X208">
        <v>116</v>
      </c>
      <c r="Y208" t="s">
        <v>911</v>
      </c>
      <c r="Z208" t="s">
        <v>907</v>
      </c>
      <c r="AA208" s="25"/>
    </row>
    <row r="209" spans="1:28" x14ac:dyDescent="0.25">
      <c r="A209" s="4">
        <v>208</v>
      </c>
      <c r="B209" s="4" t="s">
        <v>723</v>
      </c>
      <c r="C209" s="28">
        <v>6.3049999999999997</v>
      </c>
      <c r="D209" s="4">
        <v>2011</v>
      </c>
      <c r="E209" s="5" t="s">
        <v>91</v>
      </c>
      <c r="F209" s="10" t="s">
        <v>116</v>
      </c>
      <c r="G209" s="11" t="s">
        <v>770</v>
      </c>
      <c r="H209" s="11" t="s">
        <v>791</v>
      </c>
      <c r="I209" s="11" t="s">
        <v>349</v>
      </c>
      <c r="J209" s="10" t="s">
        <v>219</v>
      </c>
      <c r="K209" s="10"/>
      <c r="M209" s="4">
        <v>5.3</v>
      </c>
      <c r="N209" s="4">
        <v>24</v>
      </c>
      <c r="O209" s="4">
        <v>2.2999999999999998</v>
      </c>
      <c r="P209" s="20">
        <f>(M209+(N209/10)+(O209*2))/3</f>
        <v>4.0999999999999996</v>
      </c>
      <c r="Q209" s="20">
        <f>(M209+C209+(N209/10)+(O209*2))/4</f>
        <v>4.6512500000000001</v>
      </c>
      <c r="R209" s="20">
        <f>(M209+C209+(N209/10))/3</f>
        <v>4.6683333333333339</v>
      </c>
      <c r="S209" s="27">
        <f>IF(C209 &gt; 9.25, 10, IF(C209 &gt; 6.75, ROUND(C209, 0), MAX(1, FLOOR(C209, 1))))</f>
        <v>6</v>
      </c>
      <c r="T209" s="20">
        <f>S209/2</f>
        <v>3</v>
      </c>
      <c r="U209" s="25">
        <v>45838</v>
      </c>
      <c r="V209">
        <v>1</v>
      </c>
      <c r="W209" s="25" t="s">
        <v>758</v>
      </c>
      <c r="X209">
        <v>101</v>
      </c>
      <c r="Y209" t="s">
        <v>911</v>
      </c>
      <c r="Z209" t="s">
        <v>825</v>
      </c>
      <c r="AA209" s="25"/>
    </row>
    <row r="210" spans="1:28" x14ac:dyDescent="0.25">
      <c r="A210" s="4">
        <v>209</v>
      </c>
      <c r="B210" s="4" t="s">
        <v>410</v>
      </c>
      <c r="C210" s="28">
        <v>6.3040000000000003</v>
      </c>
      <c r="D210" s="4">
        <v>2012</v>
      </c>
      <c r="E210" s="5" t="s">
        <v>146</v>
      </c>
      <c r="F210" s="10" t="s">
        <v>413</v>
      </c>
      <c r="G210" s="10" t="s">
        <v>235</v>
      </c>
      <c r="H210" s="10" t="s">
        <v>415</v>
      </c>
      <c r="I210" s="10" t="s">
        <v>414</v>
      </c>
      <c r="J210" s="10" t="s">
        <v>208</v>
      </c>
      <c r="K210" s="10" t="s">
        <v>217</v>
      </c>
      <c r="L210" s="10" t="s">
        <v>222</v>
      </c>
      <c r="M210" s="4">
        <v>6.6</v>
      </c>
      <c r="N210" s="4">
        <v>55</v>
      </c>
      <c r="O210" s="4">
        <v>2.8</v>
      </c>
      <c r="P210" s="20">
        <f>(M210+(N210/10)+(O210*2))/3</f>
        <v>5.8999999999999995</v>
      </c>
      <c r="Q210" s="20">
        <f>(M210+C210+(N210/10)+(O210*2))/4</f>
        <v>6.0009999999999994</v>
      </c>
      <c r="R210" s="20">
        <f>(M210+C210+(N210/10))/3</f>
        <v>6.1346666666666669</v>
      </c>
      <c r="S210" s="27">
        <f>IF(C210 &gt; 9.25, 10, IF(C210 &gt; 6.75, ROUND(C210, 0), MAX(1, FLOOR(C210, 1))))</f>
        <v>6</v>
      </c>
      <c r="T210" s="20">
        <f>S210/2</f>
        <v>3</v>
      </c>
      <c r="U210" s="25">
        <v>45106</v>
      </c>
      <c r="V210">
        <v>1</v>
      </c>
      <c r="W210" s="25" t="s">
        <v>758</v>
      </c>
      <c r="X210">
        <v>135</v>
      </c>
      <c r="Y210" t="s">
        <v>911</v>
      </c>
      <c r="Z210" t="s">
        <v>825</v>
      </c>
      <c r="AA210" s="25" t="s">
        <v>411</v>
      </c>
      <c r="AB210">
        <v>4</v>
      </c>
    </row>
    <row r="211" spans="1:28" x14ac:dyDescent="0.25">
      <c r="A211" s="4">
        <v>210</v>
      </c>
      <c r="B211" s="4" t="s">
        <v>1080</v>
      </c>
      <c r="C211" s="28">
        <v>6.3029999999999999</v>
      </c>
      <c r="D211" s="4">
        <v>2025</v>
      </c>
      <c r="E211" s="10" t="s">
        <v>1081</v>
      </c>
      <c r="F211" s="10" t="s">
        <v>1082</v>
      </c>
      <c r="G211" s="10" t="s">
        <v>1083</v>
      </c>
      <c r="H211" s="10" t="s">
        <v>1084</v>
      </c>
      <c r="I211" s="10" t="s">
        <v>1085</v>
      </c>
      <c r="J211" s="10" t="s">
        <v>226</v>
      </c>
      <c r="K211" s="10" t="s">
        <v>208</v>
      </c>
      <c r="L211" t="s">
        <v>209</v>
      </c>
      <c r="M211" s="4">
        <v>7.1</v>
      </c>
      <c r="N211" s="4">
        <v>92</v>
      </c>
      <c r="O211" s="4">
        <v>3.5</v>
      </c>
      <c r="P211" s="20">
        <f>(M211+(N211/10)+(O211*2))/3</f>
        <v>7.7666666666666657</v>
      </c>
      <c r="Q211" s="20">
        <f>(M211+C211+(N211/10)+(O211*2))/4</f>
        <v>7.4007499999999995</v>
      </c>
      <c r="R211" s="20">
        <f>(M211+C211+(N211/10))/3</f>
        <v>7.5343333333333327</v>
      </c>
      <c r="S211" s="27">
        <f>IF(C211 &gt; 9.25, 10, IF(C211 &gt; 6.75, ROUND(C211, 0), MAX(1, FLOOR(C211, 1))))</f>
        <v>6</v>
      </c>
      <c r="T211" s="20">
        <f>S211/2</f>
        <v>3</v>
      </c>
      <c r="U211" s="25">
        <v>46150</v>
      </c>
      <c r="V211">
        <v>1</v>
      </c>
      <c r="W211" s="25" t="s">
        <v>758</v>
      </c>
      <c r="X211">
        <v>95</v>
      </c>
      <c r="Y211" t="s">
        <v>911</v>
      </c>
      <c r="Z211" t="s">
        <v>907</v>
      </c>
    </row>
    <row r="212" spans="1:28" x14ac:dyDescent="0.25">
      <c r="A212" s="4">
        <v>211</v>
      </c>
      <c r="B212" s="4" t="s">
        <v>401</v>
      </c>
      <c r="C212" s="28">
        <v>6.3019999999999996</v>
      </c>
      <c r="D212" s="4">
        <v>2015</v>
      </c>
      <c r="E212" s="10" t="s">
        <v>59</v>
      </c>
      <c r="F212" s="10" t="s">
        <v>129</v>
      </c>
      <c r="G212" s="10" t="s">
        <v>398</v>
      </c>
      <c r="H212" s="10" t="s">
        <v>1197</v>
      </c>
      <c r="I212" s="10" t="s">
        <v>61</v>
      </c>
      <c r="J212" s="10" t="s">
        <v>396</v>
      </c>
      <c r="K212" s="10" t="s">
        <v>217</v>
      </c>
      <c r="L212" s="10" t="s">
        <v>216</v>
      </c>
      <c r="M212" s="4">
        <v>7.8</v>
      </c>
      <c r="N212" s="4">
        <v>75</v>
      </c>
      <c r="O212" s="4">
        <v>4</v>
      </c>
      <c r="P212" s="20">
        <f>(M212+(N212/10)+(O212*2))/3</f>
        <v>7.7666666666666666</v>
      </c>
      <c r="Q212" s="20">
        <f>(M212+C212+(N212/10)+(O212*2))/4</f>
        <v>7.4005000000000001</v>
      </c>
      <c r="R212" s="20">
        <f>(M212+C212+(N212/10))/3</f>
        <v>7.2006666666666668</v>
      </c>
      <c r="S212" s="27">
        <f>IF(C212 &gt; 9.25, 10, IF(C212 &gt; 6.75, ROUND(C212, 0), MAX(1, FLOOR(C212, 1))))</f>
        <v>6</v>
      </c>
      <c r="T212" s="20">
        <f>S212/2</f>
        <v>3</v>
      </c>
      <c r="U212" s="25">
        <v>45100</v>
      </c>
      <c r="V212">
        <v>1</v>
      </c>
      <c r="W212" s="25" t="s">
        <v>758</v>
      </c>
      <c r="X212">
        <v>168</v>
      </c>
      <c r="Y212" t="s">
        <v>911</v>
      </c>
      <c r="Z212" t="s">
        <v>825</v>
      </c>
      <c r="AA212" s="25"/>
    </row>
    <row r="213" spans="1:28" x14ac:dyDescent="0.25">
      <c r="A213" s="4">
        <v>212</v>
      </c>
      <c r="B213" s="4" t="s">
        <v>184</v>
      </c>
      <c r="C213" s="28">
        <v>6.3010000000000002</v>
      </c>
      <c r="D213" s="4">
        <v>1994</v>
      </c>
      <c r="E213" s="10" t="s">
        <v>289</v>
      </c>
      <c r="F213" s="10" t="s">
        <v>290</v>
      </c>
      <c r="G213" s="10" t="s">
        <v>291</v>
      </c>
      <c r="H213" s="10" t="s">
        <v>292</v>
      </c>
      <c r="I213" s="10" t="s">
        <v>187</v>
      </c>
      <c r="J213" t="s">
        <v>210</v>
      </c>
      <c r="K213" t="s">
        <v>225</v>
      </c>
      <c r="L213" s="10" t="s">
        <v>219</v>
      </c>
      <c r="M213" s="4">
        <v>6.4</v>
      </c>
      <c r="N213" s="4">
        <v>36</v>
      </c>
      <c r="O213" s="4">
        <v>3.2</v>
      </c>
      <c r="P213" s="20">
        <f>(M213+(N213/10)+(O213*2))/3</f>
        <v>5.4666666666666659</v>
      </c>
      <c r="Q213" s="20">
        <f>(M213+C213+(N213/10)+(O213*2))/4</f>
        <v>5.6752500000000001</v>
      </c>
      <c r="R213" s="20">
        <f>(M213+C213+(N213/10))/3</f>
        <v>5.4336666666666673</v>
      </c>
      <c r="S213" s="27">
        <f>IF(C213 &gt; 9.25, 10, IF(C213 &gt; 6.75, ROUND(C213, 0), MAX(1, FLOOR(C213, 1))))</f>
        <v>6</v>
      </c>
      <c r="T213" s="20">
        <f>S213/2</f>
        <v>3</v>
      </c>
      <c r="U213" s="25">
        <v>45106</v>
      </c>
      <c r="V213">
        <v>1</v>
      </c>
      <c r="W213" s="25" t="s">
        <v>758</v>
      </c>
      <c r="X213">
        <v>107</v>
      </c>
      <c r="Y213" t="s">
        <v>911</v>
      </c>
      <c r="Z213" t="s">
        <v>825</v>
      </c>
      <c r="AA213" s="25"/>
    </row>
    <row r="214" spans="1:28" x14ac:dyDescent="0.25">
      <c r="A214" s="4">
        <v>213</v>
      </c>
      <c r="B214" s="4" t="s">
        <v>1220</v>
      </c>
      <c r="C214" s="28">
        <v>6.2060000000000004</v>
      </c>
      <c r="D214" s="4">
        <v>2022</v>
      </c>
      <c r="E214" s="10" t="s">
        <v>458</v>
      </c>
      <c r="F214" s="10" t="s">
        <v>1221</v>
      </c>
      <c r="G214" s="10" t="s">
        <v>1222</v>
      </c>
      <c r="H214" s="10" t="s">
        <v>1142</v>
      </c>
      <c r="I214" s="10" t="s">
        <v>764</v>
      </c>
      <c r="J214" s="10" t="s">
        <v>208</v>
      </c>
      <c r="K214" s="10" t="s">
        <v>223</v>
      </c>
      <c r="L214" s="10" t="s">
        <v>951</v>
      </c>
      <c r="M214" s="4">
        <v>6.8</v>
      </c>
      <c r="N214" s="4">
        <v>73</v>
      </c>
      <c r="O214" s="4">
        <v>2.9</v>
      </c>
      <c r="P214" s="20">
        <f>(M214+(N214/10)+(O214*2))/3</f>
        <v>6.6333333333333329</v>
      </c>
      <c r="Q214" s="20">
        <f>(M214+C214+(N214/10)+(O214*2))/4</f>
        <v>6.5265000000000004</v>
      </c>
      <c r="R214" s="20">
        <f>(M214+C214+(N214/10))/3</f>
        <v>6.7686666666666673</v>
      </c>
      <c r="S214" s="27">
        <f>IF(C214 &gt; 9.25, 10, IF(C214 &gt; 6.75, ROUND(C214, 0), MAX(1, FLOOR(C214, 1))))</f>
        <v>6</v>
      </c>
      <c r="T214" s="20">
        <f>S214/2</f>
        <v>3</v>
      </c>
      <c r="U214" s="25">
        <v>46205</v>
      </c>
      <c r="V214">
        <v>1</v>
      </c>
      <c r="W214" s="25" t="s">
        <v>758</v>
      </c>
      <c r="X214">
        <v>126</v>
      </c>
      <c r="Y214" t="s">
        <v>911</v>
      </c>
      <c r="Z214" t="s">
        <v>907</v>
      </c>
      <c r="AA214" t="s">
        <v>1141</v>
      </c>
      <c r="AB214">
        <v>2</v>
      </c>
    </row>
    <row r="215" spans="1:28" x14ac:dyDescent="0.25">
      <c r="A215" s="4">
        <v>214</v>
      </c>
      <c r="B215" s="4" t="s">
        <v>1115</v>
      </c>
      <c r="C215" s="28">
        <v>6.2050000000000001</v>
      </c>
      <c r="D215" s="4">
        <v>2017</v>
      </c>
      <c r="E215" s="10" t="s">
        <v>9</v>
      </c>
      <c r="F215" s="10" t="s">
        <v>1198</v>
      </c>
      <c r="G215" s="10" t="s">
        <v>1113</v>
      </c>
      <c r="H215" s="10" t="s">
        <v>1114</v>
      </c>
      <c r="I215" s="10" t="s">
        <v>343</v>
      </c>
      <c r="J215" s="10" t="s">
        <v>219</v>
      </c>
      <c r="K215" s="10" t="s">
        <v>215</v>
      </c>
      <c r="L215" s="10" t="s">
        <v>209</v>
      </c>
      <c r="M215" s="4">
        <v>7.2</v>
      </c>
      <c r="N215" s="4">
        <v>85</v>
      </c>
      <c r="O215" s="4">
        <v>3.4</v>
      </c>
      <c r="P215" s="20">
        <f>(M215+(N215/10)+(O215*2))/3</f>
        <v>7.5</v>
      </c>
      <c r="Q215" s="20">
        <f>(M215+C215+(N215/10)+(O215*2))/4</f>
        <v>7.1762500000000005</v>
      </c>
      <c r="R215" s="20">
        <f>(M215+C215+(N215/10))/3</f>
        <v>7.3016666666666667</v>
      </c>
      <c r="S215" s="27">
        <f>IF(C215 &gt; 9.25, 10, IF(C215 &gt; 6.75, ROUND(C215, 0), MAX(1, FLOOR(C215, 1))))</f>
        <v>6</v>
      </c>
      <c r="T215" s="20">
        <f>S215/2</f>
        <v>3</v>
      </c>
      <c r="U215" s="25">
        <v>46165</v>
      </c>
      <c r="V215">
        <v>1</v>
      </c>
      <c r="W215" s="25" t="s">
        <v>758</v>
      </c>
      <c r="X215">
        <v>115</v>
      </c>
      <c r="Y215" t="s">
        <v>911</v>
      </c>
      <c r="Z215" t="s">
        <v>907</v>
      </c>
    </row>
    <row r="216" spans="1:28" x14ac:dyDescent="0.25">
      <c r="A216" s="4">
        <v>215</v>
      </c>
      <c r="B216" s="4" t="s">
        <v>1162</v>
      </c>
      <c r="C216" s="28">
        <v>6.2039999999999997</v>
      </c>
      <c r="D216" s="4">
        <v>2021</v>
      </c>
      <c r="E216" s="10" t="s">
        <v>1163</v>
      </c>
      <c r="F216" s="10" t="s">
        <v>1164</v>
      </c>
      <c r="G216" s="10" t="s">
        <v>1165</v>
      </c>
      <c r="H216" s="10" t="s">
        <v>310</v>
      </c>
      <c r="I216" s="10" t="s">
        <v>1166</v>
      </c>
      <c r="J216" s="10" t="s">
        <v>208</v>
      </c>
      <c r="K216" s="10" t="s">
        <v>223</v>
      </c>
      <c r="L216" t="s">
        <v>951</v>
      </c>
      <c r="M216" s="4">
        <v>7.3</v>
      </c>
      <c r="N216" s="4">
        <v>92</v>
      </c>
      <c r="O216" s="4">
        <v>3.4</v>
      </c>
      <c r="P216" s="20">
        <f>(M216+(N216/10)+(O216*2))/3</f>
        <v>7.7666666666666666</v>
      </c>
      <c r="Q216" s="20">
        <f>(M216+C216+(N216/10)+(O216*2))/4</f>
        <v>7.3760000000000003</v>
      </c>
      <c r="R216" s="20">
        <f>(M216+C216+(N216/10))/3</f>
        <v>7.5680000000000005</v>
      </c>
      <c r="S216" s="27">
        <f>IF(C216 &gt; 9.25, 10, IF(C216 &gt; 6.75, ROUND(C216, 0), MAX(1, FLOOR(C216, 1))))</f>
        <v>6</v>
      </c>
      <c r="T216" s="20">
        <f>S216/2</f>
        <v>3</v>
      </c>
      <c r="U216" s="25">
        <v>46198</v>
      </c>
      <c r="V216">
        <v>1</v>
      </c>
      <c r="W216" s="25" t="s">
        <v>758</v>
      </c>
      <c r="X216">
        <v>132</v>
      </c>
      <c r="Y216" t="s">
        <v>911</v>
      </c>
      <c r="Z216" t="s">
        <v>907</v>
      </c>
      <c r="AA216" t="s">
        <v>1126</v>
      </c>
      <c r="AB216">
        <v>26</v>
      </c>
    </row>
    <row r="217" spans="1:28" x14ac:dyDescent="0.25">
      <c r="A217" s="4">
        <v>216</v>
      </c>
      <c r="B217" s="4" t="s">
        <v>1048</v>
      </c>
      <c r="C217" s="28">
        <v>6.2030000000000003</v>
      </c>
      <c r="D217" s="4">
        <v>2013</v>
      </c>
      <c r="E217" s="10" t="s">
        <v>347</v>
      </c>
      <c r="F217" s="10" t="s">
        <v>1020</v>
      </c>
      <c r="G217" s="10" t="s">
        <v>1021</v>
      </c>
      <c r="H217" s="10" t="s">
        <v>1049</v>
      </c>
      <c r="I217" s="10" t="s">
        <v>1050</v>
      </c>
      <c r="J217" s="10" t="s">
        <v>208</v>
      </c>
      <c r="K217" s="10" t="s">
        <v>223</v>
      </c>
      <c r="L217" s="10" t="s">
        <v>951</v>
      </c>
      <c r="M217" s="4">
        <v>6.7</v>
      </c>
      <c r="N217" s="4">
        <v>6.7</v>
      </c>
      <c r="O217" s="4">
        <v>2.2999999999999998</v>
      </c>
      <c r="P217" s="20">
        <f>(M217+(N217/10)+(O217*2))/3</f>
        <v>3.9899999999999998</v>
      </c>
      <c r="Q217" s="20">
        <f>(M217+C217+(N217/10)+(O217*2))/4</f>
        <v>4.5432500000000005</v>
      </c>
      <c r="R217" s="20">
        <f>(M217+C217+(N217/10))/3</f>
        <v>4.5243333333333338</v>
      </c>
      <c r="S217" s="27">
        <f>IF(C217 &gt; 9.25, 10, IF(C217 &gt; 6.75, ROUND(C217, 0), MAX(1, FLOOR(C217, 1))))</f>
        <v>6</v>
      </c>
      <c r="T217" s="20">
        <f>S217/2</f>
        <v>3</v>
      </c>
      <c r="U217" s="25">
        <v>46125</v>
      </c>
      <c r="V217">
        <v>1</v>
      </c>
      <c r="W217" s="25" t="s">
        <v>758</v>
      </c>
      <c r="X217">
        <v>112</v>
      </c>
      <c r="Y217" t="s">
        <v>911</v>
      </c>
      <c r="Z217" t="s">
        <v>915</v>
      </c>
      <c r="AA217" t="s">
        <v>1019</v>
      </c>
      <c r="AB217">
        <v>2</v>
      </c>
    </row>
    <row r="218" spans="1:28" x14ac:dyDescent="0.25">
      <c r="A218" s="4">
        <v>217</v>
      </c>
      <c r="B218" s="4" t="s">
        <v>412</v>
      </c>
      <c r="C218" s="28">
        <v>6.202</v>
      </c>
      <c r="D218" s="4">
        <v>2008</v>
      </c>
      <c r="E218" s="5" t="s">
        <v>146</v>
      </c>
      <c r="F218" s="10" t="s">
        <v>417</v>
      </c>
      <c r="G218" s="10" t="s">
        <v>418</v>
      </c>
      <c r="H218" s="10" t="s">
        <v>419</v>
      </c>
      <c r="I218" s="10" t="s">
        <v>422</v>
      </c>
      <c r="J218" s="10" t="s">
        <v>226</v>
      </c>
      <c r="K218" s="10" t="s">
        <v>209</v>
      </c>
      <c r="L218" s="10" t="s">
        <v>217</v>
      </c>
      <c r="M218" s="4">
        <v>7.5</v>
      </c>
      <c r="N218" s="4">
        <v>97</v>
      </c>
      <c r="O218" s="4">
        <v>3.8</v>
      </c>
      <c r="P218" s="20">
        <f>(M218+(N218/10)+(O218*2))/3</f>
        <v>8.2666666666666657</v>
      </c>
      <c r="Q218" s="20">
        <f>(M218+C218+(N218/10)+(O218*2))/4</f>
        <v>7.7505000000000006</v>
      </c>
      <c r="R218" s="20">
        <f>(M218+C218+(N218/10))/3</f>
        <v>7.8006666666666673</v>
      </c>
      <c r="S218" s="27">
        <f>IF(C218 &gt; 9.25, 10, IF(C218 &gt; 6.75, ROUND(C218, 0), MAX(1, FLOOR(C218, 1))))</f>
        <v>6</v>
      </c>
      <c r="T218" s="20">
        <f>S218/2</f>
        <v>3</v>
      </c>
      <c r="U218" s="25">
        <v>45104</v>
      </c>
      <c r="V218">
        <v>1</v>
      </c>
      <c r="W218" s="25" t="s">
        <v>758</v>
      </c>
      <c r="X218">
        <v>131</v>
      </c>
      <c r="Y218" t="s">
        <v>911</v>
      </c>
      <c r="Z218" t="s">
        <v>825</v>
      </c>
      <c r="AA218" s="25"/>
    </row>
    <row r="219" spans="1:28" x14ac:dyDescent="0.25">
      <c r="A219" s="4">
        <v>218</v>
      </c>
      <c r="B219" s="4" t="s">
        <v>954</v>
      </c>
      <c r="C219" s="28">
        <v>6.2009999999999996</v>
      </c>
      <c r="D219" s="4">
        <v>2014</v>
      </c>
      <c r="E219" s="10" t="s">
        <v>788</v>
      </c>
      <c r="F219" s="10" t="s">
        <v>950</v>
      </c>
      <c r="G219" s="10" t="s">
        <v>350</v>
      </c>
      <c r="H219" s="10" t="s">
        <v>955</v>
      </c>
      <c r="I219" s="10" t="s">
        <v>952</v>
      </c>
      <c r="J219" s="10" t="s">
        <v>208</v>
      </c>
      <c r="K219" s="10" t="s">
        <v>223</v>
      </c>
      <c r="L219" s="10" t="s">
        <v>951</v>
      </c>
      <c r="M219" s="4">
        <v>6.6</v>
      </c>
      <c r="N219" s="4">
        <v>51</v>
      </c>
      <c r="O219" s="4">
        <v>3.2</v>
      </c>
      <c r="P219" s="20">
        <f>(M219+(N219/10)+(O219*2))/3</f>
        <v>6.0333333333333341</v>
      </c>
      <c r="Q219" s="20">
        <f>(M219+C219+(N219/10)+(O219*2))/4</f>
        <v>6.0752499999999987</v>
      </c>
      <c r="R219" s="20">
        <f>(M219+C219+(N219/10))/3</f>
        <v>5.9669999999999987</v>
      </c>
      <c r="S219" s="27">
        <f>IF(C219 &gt; 9.25, 10, IF(C219 &gt; 6.75, ROUND(C219, 0), MAX(1, FLOOR(C219, 1))))</f>
        <v>6</v>
      </c>
      <c r="T219" s="20">
        <f>S219/2</f>
        <v>3</v>
      </c>
      <c r="U219" s="25">
        <v>46053</v>
      </c>
      <c r="V219">
        <v>1</v>
      </c>
      <c r="W219" s="25" t="s">
        <v>758</v>
      </c>
      <c r="X219">
        <v>142</v>
      </c>
      <c r="Y219" t="s">
        <v>911</v>
      </c>
      <c r="Z219" t="s">
        <v>907</v>
      </c>
      <c r="AA219" s="25" t="s">
        <v>938</v>
      </c>
      <c r="AB219">
        <v>5</v>
      </c>
    </row>
    <row r="220" spans="1:28" x14ac:dyDescent="0.25">
      <c r="A220" s="4">
        <v>219</v>
      </c>
      <c r="B220" s="4" t="s">
        <v>584</v>
      </c>
      <c r="C220" s="28">
        <v>6.1059999999999999</v>
      </c>
      <c r="D220" s="4">
        <v>2001</v>
      </c>
      <c r="E220" s="10" t="s">
        <v>581</v>
      </c>
      <c r="F220" s="10" t="s">
        <v>52</v>
      </c>
      <c r="G220" s="10" t="s">
        <v>19</v>
      </c>
      <c r="H220" s="10" t="s">
        <v>582</v>
      </c>
      <c r="I220" s="10" t="s">
        <v>583</v>
      </c>
      <c r="J220" s="10" t="s">
        <v>215</v>
      </c>
      <c r="K220" s="10" t="s">
        <v>217</v>
      </c>
      <c r="M220" s="4">
        <v>6.5</v>
      </c>
      <c r="N220" s="4">
        <v>55</v>
      </c>
      <c r="O220" s="4">
        <v>3.3</v>
      </c>
      <c r="P220" s="20">
        <f>(M220+(N220/10)+(O220*2))/3</f>
        <v>6.2</v>
      </c>
      <c r="Q220" s="20">
        <f>(M220+C220+(N220/10)+(O220*2))/4</f>
        <v>6.1765000000000008</v>
      </c>
      <c r="R220" s="20">
        <f>(M220+C220+(N220/10))/3</f>
        <v>6.0353333333333339</v>
      </c>
      <c r="S220" s="27">
        <f>IF(C220 &gt; 9.25, 10, IF(C220 &gt; 6.75, ROUND(C220, 0), MAX(1, FLOOR(C220, 1))))</f>
        <v>6</v>
      </c>
      <c r="T220" s="20">
        <f>S220/2</f>
        <v>3</v>
      </c>
      <c r="U220" s="25">
        <v>45432</v>
      </c>
      <c r="V220">
        <v>1</v>
      </c>
      <c r="W220" s="25" t="s">
        <v>758</v>
      </c>
      <c r="X220">
        <v>125</v>
      </c>
      <c r="Y220" t="s">
        <v>911</v>
      </c>
      <c r="Z220" t="s">
        <v>825</v>
      </c>
      <c r="AA220" s="25" t="s">
        <v>991</v>
      </c>
      <c r="AB220">
        <v>2</v>
      </c>
    </row>
    <row r="221" spans="1:28" x14ac:dyDescent="0.25">
      <c r="A221" s="4">
        <v>220</v>
      </c>
      <c r="B221" s="4" t="s">
        <v>411</v>
      </c>
      <c r="C221" s="28">
        <v>6.1050000000000004</v>
      </c>
      <c r="D221" s="4">
        <v>2016</v>
      </c>
      <c r="E221" s="10" t="s">
        <v>19</v>
      </c>
      <c r="F221" s="10" t="s">
        <v>987</v>
      </c>
      <c r="G221" s="10" t="s">
        <v>355</v>
      </c>
      <c r="H221" s="10" t="s">
        <v>416</v>
      </c>
      <c r="I221" s="10" t="s">
        <v>341</v>
      </c>
      <c r="J221" s="10" t="s">
        <v>208</v>
      </c>
      <c r="K221" s="10" t="s">
        <v>217</v>
      </c>
      <c r="L221" s="10" t="s">
        <v>222</v>
      </c>
      <c r="M221" s="4">
        <v>6.6</v>
      </c>
      <c r="N221" s="4">
        <v>54</v>
      </c>
      <c r="O221" s="4">
        <v>3</v>
      </c>
      <c r="P221" s="20">
        <f>(M221+(N221/10)+(O221*2))/3</f>
        <v>6</v>
      </c>
      <c r="Q221" s="20">
        <f>(M221+C221+(N221/10)+(O221*2))/4</f>
        <v>6.0262500000000001</v>
      </c>
      <c r="R221" s="20">
        <f>(M221+C221+(N221/10))/3</f>
        <v>6.0350000000000001</v>
      </c>
      <c r="S221" s="27">
        <f>IF(C221 &gt; 9.25, 10, IF(C221 &gt; 6.75, ROUND(C221, 0), MAX(1, FLOOR(C221, 1))))</f>
        <v>6</v>
      </c>
      <c r="T221" s="20">
        <f>S221/2</f>
        <v>3</v>
      </c>
      <c r="U221" s="25">
        <v>45106</v>
      </c>
      <c r="V221">
        <v>1</v>
      </c>
      <c r="W221" s="25" t="s">
        <v>758</v>
      </c>
      <c r="X221">
        <v>123</v>
      </c>
      <c r="Y221" t="s">
        <v>911</v>
      </c>
      <c r="Z221" t="s">
        <v>825</v>
      </c>
      <c r="AA221" s="25" t="s">
        <v>411</v>
      </c>
      <c r="AB221">
        <v>5</v>
      </c>
    </row>
    <row r="222" spans="1:28" x14ac:dyDescent="0.25">
      <c r="A222" s="4">
        <v>221</v>
      </c>
      <c r="B222" s="4" t="s">
        <v>725</v>
      </c>
      <c r="C222" s="28">
        <v>6.1040000000000001</v>
      </c>
      <c r="D222" s="4">
        <v>2013</v>
      </c>
      <c r="E222" s="10" t="s">
        <v>122</v>
      </c>
      <c r="F222" s="10" t="s">
        <v>24</v>
      </c>
      <c r="G222" s="10" t="s">
        <v>271</v>
      </c>
      <c r="H222" s="10" t="s">
        <v>319</v>
      </c>
      <c r="I222" s="10" t="s">
        <v>889</v>
      </c>
      <c r="J222" s="10" t="s">
        <v>215</v>
      </c>
      <c r="K222" s="10" t="s">
        <v>208</v>
      </c>
      <c r="L222" s="10" t="s">
        <v>219</v>
      </c>
      <c r="M222" s="4">
        <v>6.7</v>
      </c>
      <c r="N222" s="4">
        <v>64</v>
      </c>
      <c r="O222" s="4">
        <v>2.9</v>
      </c>
      <c r="P222" s="20">
        <f>(M222+(N222/10)+(O222*2))/3</f>
        <v>6.3000000000000007</v>
      </c>
      <c r="Q222" s="20">
        <f>(M222+C222+(N222/10)+(O222*2))/4</f>
        <v>6.2510000000000003</v>
      </c>
      <c r="R222" s="20">
        <f>(M222+C222+(N222/10))/3</f>
        <v>6.4013333333333335</v>
      </c>
      <c r="S222" s="27">
        <f>IF(C222 &gt; 9.25, 10, IF(C222 &gt; 6.75, ROUND(C222, 0), MAX(1, FLOOR(C222, 1))))</f>
        <v>6</v>
      </c>
      <c r="T222" s="20">
        <f>S222/2</f>
        <v>3</v>
      </c>
      <c r="U222" s="25">
        <v>45919</v>
      </c>
      <c r="V222">
        <v>1</v>
      </c>
      <c r="W222" s="25" t="s">
        <v>758</v>
      </c>
      <c r="X222">
        <v>109</v>
      </c>
      <c r="Y222" t="s">
        <v>911</v>
      </c>
      <c r="Z222" t="s">
        <v>825</v>
      </c>
      <c r="AA222" s="25"/>
    </row>
    <row r="223" spans="1:28" x14ac:dyDescent="0.25">
      <c r="A223" s="4">
        <v>222</v>
      </c>
      <c r="B223" s="4" t="s">
        <v>124</v>
      </c>
      <c r="C223" s="28">
        <v>6.1029999999999998</v>
      </c>
      <c r="D223" s="4">
        <v>2013</v>
      </c>
      <c r="E223" s="10" t="s">
        <v>10</v>
      </c>
      <c r="F223" s="10" t="s">
        <v>103</v>
      </c>
      <c r="G223" s="10" t="s">
        <v>104</v>
      </c>
      <c r="H223" s="10" t="s">
        <v>105</v>
      </c>
      <c r="I223" s="10" t="s">
        <v>36</v>
      </c>
      <c r="J223" s="10" t="s">
        <v>219</v>
      </c>
      <c r="M223" s="4">
        <v>6.3</v>
      </c>
      <c r="N223" s="4">
        <v>74</v>
      </c>
      <c r="O223" s="4">
        <v>3</v>
      </c>
      <c r="P223" s="20">
        <f>(M223+(N223/10)+(O223*2))/3</f>
        <v>6.5666666666666664</v>
      </c>
      <c r="Q223" s="20">
        <f>(M223+C223+(N223/10)+(O223*2))/4</f>
        <v>6.4507499999999993</v>
      </c>
      <c r="R223" s="20">
        <f>(M223+C223+(N223/10))/3</f>
        <v>6.6009999999999991</v>
      </c>
      <c r="S223" s="27">
        <f>IF(C223 &gt; 9.25, 10, IF(C223 &gt; 6.75, ROUND(C223, 0), MAX(1, FLOOR(C223, 1))))</f>
        <v>6</v>
      </c>
      <c r="T223" s="20">
        <f>S223/2</f>
        <v>3</v>
      </c>
      <c r="U223" s="25">
        <v>44721</v>
      </c>
      <c r="V223">
        <v>1</v>
      </c>
      <c r="W223" s="25" t="s">
        <v>758</v>
      </c>
      <c r="X223">
        <v>119</v>
      </c>
      <c r="Y223" t="s">
        <v>911</v>
      </c>
      <c r="Z223" t="s">
        <v>825</v>
      </c>
      <c r="AA223" s="25"/>
    </row>
    <row r="224" spans="1:28" x14ac:dyDescent="0.25">
      <c r="A224" s="4">
        <v>223</v>
      </c>
      <c r="B224" s="4" t="s">
        <v>1230</v>
      </c>
      <c r="C224" s="28">
        <v>6.1020000000000003</v>
      </c>
      <c r="D224" s="4">
        <v>2022</v>
      </c>
      <c r="E224" s="10" t="s">
        <v>347</v>
      </c>
      <c r="F224" s="10" t="s">
        <v>1020</v>
      </c>
      <c r="G224" s="10" t="s">
        <v>126</v>
      </c>
      <c r="H224" s="10" t="s">
        <v>517</v>
      </c>
      <c r="I224" s="10" t="s">
        <v>1148</v>
      </c>
      <c r="J224" s="10" t="s">
        <v>208</v>
      </c>
      <c r="K224" s="10" t="s">
        <v>223</v>
      </c>
      <c r="L224" s="10" t="s">
        <v>951</v>
      </c>
      <c r="M224" s="4">
        <v>6.1</v>
      </c>
      <c r="N224" s="4">
        <v>64</v>
      </c>
      <c r="O224" s="4">
        <v>2.2999999999999998</v>
      </c>
      <c r="P224" s="20">
        <f>(M224+(N224/10)+(O224*2))/3</f>
        <v>5.7</v>
      </c>
      <c r="Q224" s="20">
        <f>(M224+C224+(N224/10)+(O224*2))/4</f>
        <v>5.8004999999999995</v>
      </c>
      <c r="R224" s="20">
        <f>(M224+C224+(N224/10))/3</f>
        <v>6.2006666666666668</v>
      </c>
      <c r="S224" s="27">
        <f>IF(C224 &gt; 9.25, 10, IF(C224 &gt; 6.75, ROUND(C224, 0), MAX(1, FLOOR(C224, 1))))</f>
        <v>6</v>
      </c>
      <c r="T224" s="20">
        <f>S224/2</f>
        <v>3</v>
      </c>
      <c r="U224" s="25">
        <v>46208</v>
      </c>
      <c r="V224">
        <v>1</v>
      </c>
      <c r="W224" s="25" t="s">
        <v>758</v>
      </c>
      <c r="X224">
        <v>119</v>
      </c>
      <c r="Y224" t="s">
        <v>911</v>
      </c>
      <c r="Z224" t="s">
        <v>907</v>
      </c>
      <c r="AA224" t="s">
        <v>1019</v>
      </c>
      <c r="AB224">
        <v>4</v>
      </c>
    </row>
    <row r="225" spans="1:28" x14ac:dyDescent="0.25">
      <c r="A225" s="4">
        <v>224</v>
      </c>
      <c r="B225" s="4" t="s">
        <v>397</v>
      </c>
      <c r="C225" s="28">
        <v>6.101</v>
      </c>
      <c r="D225" s="4">
        <v>1992</v>
      </c>
      <c r="E225" s="5" t="s">
        <v>398</v>
      </c>
      <c r="F225" s="10" t="s">
        <v>313</v>
      </c>
      <c r="G225" s="10" t="s">
        <v>400</v>
      </c>
      <c r="H225" s="10" t="s">
        <v>399</v>
      </c>
      <c r="I225" s="10" t="s">
        <v>61</v>
      </c>
      <c r="J225" s="10" t="s">
        <v>215</v>
      </c>
      <c r="K225" s="10" t="s">
        <v>217</v>
      </c>
      <c r="L225" s="10" t="s">
        <v>672</v>
      </c>
      <c r="M225" s="4">
        <v>8.3000000000000007</v>
      </c>
      <c r="N225" s="4">
        <v>92</v>
      </c>
      <c r="O225" s="4">
        <v>4.0999999999999996</v>
      </c>
      <c r="P225" s="20">
        <f>(M225+(N225/10)+(O225*2))/3</f>
        <v>8.5666666666666664</v>
      </c>
      <c r="Q225" s="20">
        <f>(M225+C225+(N225/10)+(O225*2))/4</f>
        <v>7.9502499999999996</v>
      </c>
      <c r="R225" s="20">
        <f>(M225+C225+(N225/10))/3</f>
        <v>7.867</v>
      </c>
      <c r="S225" s="27">
        <f>IF(C225 &gt; 9.25, 10, IF(C225 &gt; 6.75, ROUND(C225, 0), MAX(1, FLOOR(C225, 1))))</f>
        <v>6</v>
      </c>
      <c r="T225" s="20">
        <f>S225/2</f>
        <v>3</v>
      </c>
      <c r="U225" s="25">
        <v>45098</v>
      </c>
      <c r="V225">
        <v>1</v>
      </c>
      <c r="W225" s="25" t="s">
        <v>758</v>
      </c>
      <c r="X225">
        <v>99</v>
      </c>
      <c r="Y225" t="s">
        <v>911</v>
      </c>
      <c r="Z225" t="s">
        <v>825</v>
      </c>
      <c r="AA225" s="25"/>
    </row>
    <row r="226" spans="1:28" x14ac:dyDescent="0.25">
      <c r="A226" s="4">
        <v>225</v>
      </c>
      <c r="B226" s="4" t="s">
        <v>1287</v>
      </c>
      <c r="C226" s="28">
        <v>6.0060000000000002</v>
      </c>
      <c r="D226" s="4">
        <v>2014</v>
      </c>
      <c r="E226" s="10" t="s">
        <v>1288</v>
      </c>
      <c r="F226" s="10" t="s">
        <v>1289</v>
      </c>
      <c r="G226" s="10" t="s">
        <v>1290</v>
      </c>
      <c r="H226" s="10" t="s">
        <v>1291</v>
      </c>
      <c r="I226" s="10" t="s">
        <v>1292</v>
      </c>
      <c r="J226" s="10" t="s">
        <v>219</v>
      </c>
      <c r="K226" s="10" t="s">
        <v>209</v>
      </c>
      <c r="M226" s="4">
        <v>8.1</v>
      </c>
      <c r="N226" s="4">
        <v>92</v>
      </c>
      <c r="O226" s="4">
        <v>4.2</v>
      </c>
      <c r="P226" s="20">
        <f>(M226+(N226/10)+(O226*2))/3</f>
        <v>8.5666666666666647</v>
      </c>
      <c r="Q226" s="20">
        <f>(M226+C226+(N226/10)+(O226*2))/4</f>
        <v>7.926499999999999</v>
      </c>
      <c r="R226" s="20">
        <f>(M226+C226+(N226/10))/3</f>
        <v>7.7686666666666655</v>
      </c>
      <c r="S226" s="27">
        <f>IF(C226 &gt; 9.25, 10, IF(C226 &gt; 6.75, ROUND(C226, 0), MAX(1, FLOOR(C226, 1))))</f>
        <v>6</v>
      </c>
      <c r="T226" s="20">
        <f>S226/2</f>
        <v>3</v>
      </c>
      <c r="U226" s="25">
        <v>46226</v>
      </c>
      <c r="V226">
        <v>1</v>
      </c>
      <c r="W226" s="25" t="s">
        <v>758</v>
      </c>
      <c r="X226">
        <v>100</v>
      </c>
      <c r="Y226" t="s">
        <v>911</v>
      </c>
      <c r="Z226" t="s">
        <v>907</v>
      </c>
    </row>
    <row r="227" spans="1:28" x14ac:dyDescent="0.25">
      <c r="A227" s="4">
        <v>226</v>
      </c>
      <c r="B227" s="4" t="s">
        <v>1226</v>
      </c>
      <c r="C227" s="28">
        <v>6.0049999999999999</v>
      </c>
      <c r="D227" s="4">
        <v>2017</v>
      </c>
      <c r="E227" s="10" t="s">
        <v>52</v>
      </c>
      <c r="F227" s="10" t="s">
        <v>1201</v>
      </c>
      <c r="G227" s="10" t="s">
        <v>1227</v>
      </c>
      <c r="H227" s="10" t="s">
        <v>1228</v>
      </c>
      <c r="I227" s="10" t="s">
        <v>1229</v>
      </c>
      <c r="J227" s="10" t="s">
        <v>226</v>
      </c>
      <c r="K227" s="10" t="s">
        <v>219</v>
      </c>
      <c r="L227" s="10" t="s">
        <v>209</v>
      </c>
      <c r="M227" s="4">
        <v>6</v>
      </c>
      <c r="N227" s="4">
        <v>48</v>
      </c>
      <c r="O227" s="4">
        <v>2.6</v>
      </c>
      <c r="P227" s="20">
        <f>(M227+(N227/10)+(O227*2))/3</f>
        <v>5.333333333333333</v>
      </c>
      <c r="Q227" s="20">
        <f>(M227+C227+(N227/10)+(O227*2))/4</f>
        <v>5.5012499999999998</v>
      </c>
      <c r="R227" s="20">
        <f>(M227+C227+(N227/10))/3</f>
        <v>5.6016666666666666</v>
      </c>
      <c r="S227" s="27">
        <f>IF(C227 &gt; 9.25, 10, IF(C227 &gt; 6.75, ROUND(C227, 0), MAX(1, FLOOR(C227, 1))))</f>
        <v>6</v>
      </c>
      <c r="T227" s="20">
        <f>S227/2</f>
        <v>3</v>
      </c>
      <c r="U227" s="25">
        <v>46206</v>
      </c>
      <c r="V227">
        <v>1</v>
      </c>
      <c r="W227" s="25" t="s">
        <v>758</v>
      </c>
      <c r="X227">
        <v>122</v>
      </c>
      <c r="Y227" t="s">
        <v>911</v>
      </c>
      <c r="Z227" t="s">
        <v>907</v>
      </c>
    </row>
    <row r="228" spans="1:28" x14ac:dyDescent="0.25">
      <c r="A228" s="4">
        <v>227</v>
      </c>
      <c r="B228" s="4" t="s">
        <v>675</v>
      </c>
      <c r="C228" s="28">
        <v>6.0039999999999996</v>
      </c>
      <c r="D228" s="4">
        <v>2019</v>
      </c>
      <c r="E228" s="10" t="s">
        <v>568</v>
      </c>
      <c r="F228" s="10" t="s">
        <v>574</v>
      </c>
      <c r="G228" s="10" t="s">
        <v>676</v>
      </c>
      <c r="H228" s="10" t="s">
        <v>677</v>
      </c>
      <c r="I228" s="10" t="s">
        <v>621</v>
      </c>
      <c r="J228" s="10" t="s">
        <v>215</v>
      </c>
      <c r="K228" s="10" t="s">
        <v>209</v>
      </c>
      <c r="L228" s="10" t="s">
        <v>217</v>
      </c>
      <c r="M228" s="4">
        <v>7.3</v>
      </c>
      <c r="N228" s="4">
        <v>92</v>
      </c>
      <c r="O228" s="4">
        <v>3.6</v>
      </c>
      <c r="P228" s="20">
        <f>(M228+(N228/10)+(O228*2))/3</f>
        <v>7.8999999999999995</v>
      </c>
      <c r="Q228" s="20">
        <f>(M228+C228+(N228/10)+(O228*2))/4</f>
        <v>7.4259999999999993</v>
      </c>
      <c r="R228" s="20">
        <f>(M228+C228+(N228/10))/3</f>
        <v>7.5013333333333323</v>
      </c>
      <c r="S228" s="27">
        <f>IF(C228 &gt; 9.25, 10, IF(C228 &gt; 6.75, ROUND(C228, 0), MAX(1, FLOOR(C228, 1))))</f>
        <v>6</v>
      </c>
      <c r="T228" s="20">
        <f>S228/2</f>
        <v>3</v>
      </c>
      <c r="U228" s="25">
        <v>45456</v>
      </c>
      <c r="V228">
        <v>1</v>
      </c>
      <c r="W228" s="25" t="s">
        <v>758</v>
      </c>
      <c r="X228">
        <v>122</v>
      </c>
      <c r="Y228" t="s">
        <v>911</v>
      </c>
      <c r="Z228" t="s">
        <v>825</v>
      </c>
      <c r="AA228" s="25"/>
    </row>
    <row r="229" spans="1:28" x14ac:dyDescent="0.25">
      <c r="A229" s="4">
        <v>228</v>
      </c>
      <c r="B229" s="4" t="s">
        <v>108</v>
      </c>
      <c r="C229" s="28">
        <v>6.0030000000000001</v>
      </c>
      <c r="D229" s="4">
        <v>2013</v>
      </c>
      <c r="E229" s="10" t="s">
        <v>12</v>
      </c>
      <c r="F229" s="10" t="s">
        <v>109</v>
      </c>
      <c r="G229" s="10" t="s">
        <v>303</v>
      </c>
      <c r="H229" s="10" t="s">
        <v>304</v>
      </c>
      <c r="I229" s="10" t="s">
        <v>110</v>
      </c>
      <c r="J229" s="10" t="s">
        <v>209</v>
      </c>
      <c r="K229" s="10" t="s">
        <v>221</v>
      </c>
      <c r="L229" s="10" t="s">
        <v>674</v>
      </c>
      <c r="M229" s="4">
        <v>7.2</v>
      </c>
      <c r="N229" s="4">
        <v>48</v>
      </c>
      <c r="O229" s="4">
        <v>3.4</v>
      </c>
      <c r="P229" s="20">
        <f>(M229+(N229/10)+(O229*2))/3</f>
        <v>6.2666666666666666</v>
      </c>
      <c r="Q229" s="20">
        <f>(M229+C229+(N229/10)+(O229*2))/4</f>
        <v>6.2007500000000002</v>
      </c>
      <c r="R229" s="20">
        <f>(M229+C229+(N229/10))/3</f>
        <v>6.0010000000000003</v>
      </c>
      <c r="S229" s="27">
        <f>IF(C229 &gt; 9.25, 10, IF(C229 &gt; 6.75, ROUND(C229, 0), MAX(1, FLOOR(C229, 1))))</f>
        <v>6</v>
      </c>
      <c r="T229" s="20">
        <f>S229/2</f>
        <v>3</v>
      </c>
      <c r="U229" s="25">
        <v>45106</v>
      </c>
      <c r="V229">
        <v>1</v>
      </c>
      <c r="W229" s="25" t="s">
        <v>758</v>
      </c>
      <c r="X229">
        <v>143</v>
      </c>
      <c r="Y229" t="s">
        <v>911</v>
      </c>
      <c r="Z229" t="s">
        <v>825</v>
      </c>
      <c r="AA229" s="25"/>
    </row>
    <row r="230" spans="1:28" x14ac:dyDescent="0.25">
      <c r="A230" s="4">
        <v>229</v>
      </c>
      <c r="B230" s="4" t="s">
        <v>1252</v>
      </c>
      <c r="C230" s="28">
        <v>6.0019999999999998</v>
      </c>
      <c r="D230" s="4">
        <v>2018</v>
      </c>
      <c r="E230" s="10" t="s">
        <v>284</v>
      </c>
      <c r="F230" s="10" t="s">
        <v>784</v>
      </c>
      <c r="G230" s="10" t="s">
        <v>352</v>
      </c>
      <c r="H230" s="10" t="s">
        <v>1258</v>
      </c>
      <c r="I230" s="10" t="s">
        <v>1259</v>
      </c>
      <c r="J230" s="10" t="s">
        <v>215</v>
      </c>
      <c r="K230" s="10" t="s">
        <v>217</v>
      </c>
      <c r="L230" s="10" t="s">
        <v>219</v>
      </c>
      <c r="M230" s="4">
        <v>6.3</v>
      </c>
      <c r="N230" s="4">
        <v>69</v>
      </c>
      <c r="O230" s="4">
        <v>3.4</v>
      </c>
      <c r="P230" s="20">
        <f>(M230+(N230/10)+(O230*2))/3</f>
        <v>6.666666666666667</v>
      </c>
      <c r="Q230" s="20">
        <f>(M230+C230+(N230/10)+(O230*2))/4</f>
        <v>6.5004999999999997</v>
      </c>
      <c r="R230" s="20">
        <f>(M230+C230+(N230/10))/3</f>
        <v>6.4006666666666661</v>
      </c>
      <c r="S230" s="27">
        <f>IF(C230 &gt; 9.25, 10, IF(C230 &gt; 6.75, ROUND(C230, 0), MAX(1, FLOOR(C230, 1))))</f>
        <v>6</v>
      </c>
      <c r="T230" s="20">
        <f>S230/2</f>
        <v>3</v>
      </c>
      <c r="U230" s="25">
        <v>46215</v>
      </c>
      <c r="V230">
        <v>1</v>
      </c>
      <c r="W230" s="25" t="s">
        <v>758</v>
      </c>
      <c r="X230">
        <v>111</v>
      </c>
      <c r="Y230" t="s">
        <v>918</v>
      </c>
      <c r="Z230" t="s">
        <v>920</v>
      </c>
      <c r="AA230" t="s">
        <v>991</v>
      </c>
      <c r="AB230">
        <v>4</v>
      </c>
    </row>
    <row r="231" spans="1:28" x14ac:dyDescent="0.25">
      <c r="A231" s="4">
        <v>230</v>
      </c>
      <c r="B231" s="4" t="s">
        <v>75</v>
      </c>
      <c r="C231" s="28">
        <v>6.0010000000000003</v>
      </c>
      <c r="D231" s="4">
        <v>1994</v>
      </c>
      <c r="E231" s="5" t="s">
        <v>73</v>
      </c>
      <c r="F231" s="10" t="s">
        <v>74</v>
      </c>
      <c r="G231" s="5" t="s">
        <v>267</v>
      </c>
      <c r="H231" s="5" t="s">
        <v>268</v>
      </c>
      <c r="I231" s="5" t="s">
        <v>72</v>
      </c>
      <c r="J231" s="10" t="s">
        <v>219</v>
      </c>
      <c r="K231" s="10"/>
      <c r="L231" s="10"/>
      <c r="M231" s="4">
        <v>7.3</v>
      </c>
      <c r="N231" s="4">
        <v>68</v>
      </c>
      <c r="O231" s="4">
        <v>3.4</v>
      </c>
      <c r="P231" s="20">
        <f>(M231+(N231/10)+(O231*2))/3</f>
        <v>6.9666666666666659</v>
      </c>
      <c r="Q231" s="20">
        <f>(M231+C231+(N231/10)+(O231*2))/4</f>
        <v>6.72525</v>
      </c>
      <c r="R231" s="20">
        <f>(M231+C231+(N231/10))/3</f>
        <v>6.700333333333333</v>
      </c>
      <c r="S231" s="27">
        <f>IF(C231 &gt; 9.25, 10, IF(C231 &gt; 6.75, ROUND(C231, 0), MAX(1, FLOOR(C231, 1))))</f>
        <v>6</v>
      </c>
      <c r="T231" s="20">
        <f>S231/2</f>
        <v>3</v>
      </c>
      <c r="U231" s="25">
        <v>44714</v>
      </c>
      <c r="V231">
        <v>1</v>
      </c>
      <c r="W231" s="25" t="s">
        <v>758</v>
      </c>
      <c r="X231">
        <v>107</v>
      </c>
      <c r="Y231" t="s">
        <v>911</v>
      </c>
      <c r="Z231" t="s">
        <v>825</v>
      </c>
      <c r="AA231" s="25"/>
    </row>
    <row r="232" spans="1:28" x14ac:dyDescent="0.25">
      <c r="A232" s="4">
        <v>231</v>
      </c>
      <c r="B232" s="4" t="s">
        <v>1251</v>
      </c>
      <c r="C232" s="28">
        <v>5.9059999999999997</v>
      </c>
      <c r="D232" s="4">
        <v>2025</v>
      </c>
      <c r="E232" s="10" t="s">
        <v>417</v>
      </c>
      <c r="F232" s="10" t="s">
        <v>1089</v>
      </c>
      <c r="G232" s="10" t="s">
        <v>1260</v>
      </c>
      <c r="H232" s="10" t="s">
        <v>1262</v>
      </c>
      <c r="I232" s="10" t="s">
        <v>1261</v>
      </c>
      <c r="J232" s="10" t="s">
        <v>208</v>
      </c>
      <c r="K232" s="10" t="s">
        <v>223</v>
      </c>
      <c r="L232" s="10" t="s">
        <v>951</v>
      </c>
      <c r="M232" s="4">
        <v>5.6</v>
      </c>
      <c r="N232" s="4">
        <v>46</v>
      </c>
      <c r="O232" s="4">
        <v>2.4</v>
      </c>
      <c r="P232" s="20">
        <f>(M232+(N232/10)+(O232*2))/3</f>
        <v>5</v>
      </c>
      <c r="Q232" s="20">
        <f>(M232+C232+(N232/10)+(O232*2))/4</f>
        <v>5.2265000000000006</v>
      </c>
      <c r="R232" s="20">
        <f>(M232+C232+(N232/10))/3</f>
        <v>5.3686666666666669</v>
      </c>
      <c r="S232" s="27">
        <f>IF(C232 &gt; 9.25, 10, IF(C232 &gt; 6.75, ROUND(C232, 0), MAX(1, FLOOR(C232, 1))))</f>
        <v>5</v>
      </c>
      <c r="T232" s="20">
        <f>S232/2</f>
        <v>2.5</v>
      </c>
      <c r="U232" s="25">
        <v>46216</v>
      </c>
      <c r="V232">
        <v>1</v>
      </c>
      <c r="W232" s="25" t="s">
        <v>758</v>
      </c>
      <c r="X232">
        <v>119</v>
      </c>
      <c r="Y232" t="s">
        <v>911</v>
      </c>
      <c r="Z232" t="s">
        <v>924</v>
      </c>
      <c r="AA232" t="s">
        <v>993</v>
      </c>
      <c r="AB232">
        <v>4</v>
      </c>
    </row>
    <row r="233" spans="1:28" x14ac:dyDescent="0.25">
      <c r="A233" s="4">
        <v>232</v>
      </c>
      <c r="B233" s="4" t="s">
        <v>1169</v>
      </c>
      <c r="C233" s="28">
        <v>5.9050000000000002</v>
      </c>
      <c r="D233" s="4">
        <v>2016</v>
      </c>
      <c r="E233" s="10" t="s">
        <v>958</v>
      </c>
      <c r="F233" s="10" t="s">
        <v>1170</v>
      </c>
      <c r="G233" s="10" t="s">
        <v>1171</v>
      </c>
      <c r="H233" s="10" t="s">
        <v>420</v>
      </c>
      <c r="I233" s="10" t="s">
        <v>1172</v>
      </c>
      <c r="J233" s="10" t="s">
        <v>209</v>
      </c>
      <c r="K233" s="10" t="s">
        <v>220</v>
      </c>
      <c r="L233" s="10" t="s">
        <v>227</v>
      </c>
      <c r="M233" s="4">
        <v>7.2</v>
      </c>
      <c r="N233" s="4">
        <v>80</v>
      </c>
      <c r="O233" s="4">
        <v>3.4</v>
      </c>
      <c r="P233" s="20">
        <f>(M233+(N233/10)+(O233*2))/3</f>
        <v>7.333333333333333</v>
      </c>
      <c r="Q233" s="20">
        <f>(M233+C233+(N233/10)+(O233*2))/4</f>
        <v>6.9762500000000003</v>
      </c>
      <c r="R233" s="20">
        <f>(M233+C233+(N233/10))/3</f>
        <v>7.0350000000000001</v>
      </c>
      <c r="S233" s="27">
        <f>IF(C233 &gt; 9.25, 10, IF(C233 &gt; 6.75, ROUND(C233, 0), MAX(1, FLOOR(C233, 1))))</f>
        <v>5</v>
      </c>
      <c r="T233" s="20">
        <f>S233/2</f>
        <v>2.5</v>
      </c>
      <c r="U233" s="25">
        <v>46199</v>
      </c>
      <c r="V233">
        <v>1</v>
      </c>
      <c r="W233" s="25" t="s">
        <v>758</v>
      </c>
      <c r="X233">
        <v>115</v>
      </c>
      <c r="Y233" t="s">
        <v>911</v>
      </c>
      <c r="Z233" t="s">
        <v>907</v>
      </c>
    </row>
    <row r="234" spans="1:28" x14ac:dyDescent="0.25">
      <c r="A234" s="4">
        <v>233</v>
      </c>
      <c r="B234" s="4" t="s">
        <v>705</v>
      </c>
      <c r="C234" s="28">
        <v>5.9039999999999999</v>
      </c>
      <c r="D234" s="4">
        <v>2008</v>
      </c>
      <c r="E234" s="10" t="s">
        <v>9</v>
      </c>
      <c r="F234" s="10" t="s">
        <v>763</v>
      </c>
      <c r="G234" s="10" t="s">
        <v>785</v>
      </c>
      <c r="H234" s="10" t="s">
        <v>769</v>
      </c>
      <c r="I234" s="10" t="s">
        <v>702</v>
      </c>
      <c r="J234" s="10" t="s">
        <v>226</v>
      </c>
      <c r="K234" t="s">
        <v>217</v>
      </c>
      <c r="L234" t="s">
        <v>209</v>
      </c>
      <c r="M234" s="4">
        <v>7.1</v>
      </c>
      <c r="N234" s="4">
        <v>62</v>
      </c>
      <c r="O234" s="4">
        <v>3.3</v>
      </c>
      <c r="P234" s="20">
        <f>(M234+(N234/10)+(O234*2))/3</f>
        <v>6.6333333333333329</v>
      </c>
      <c r="Q234" s="20">
        <f>(M234+C234+(N234/10)+(O234*2))/4</f>
        <v>6.4510000000000005</v>
      </c>
      <c r="R234" s="20">
        <f>(M234+C234+(N234/10))/3</f>
        <v>6.4013333333333335</v>
      </c>
      <c r="S234" s="27">
        <f>IF(C234 &gt; 9.25, 10, IF(C234 &gt; 6.75, ROUND(C234, 0), MAX(1, FLOOR(C234, 1))))</f>
        <v>5</v>
      </c>
      <c r="T234" s="20">
        <f>S234/2</f>
        <v>2.5</v>
      </c>
      <c r="U234" s="25">
        <v>45932</v>
      </c>
      <c r="V234">
        <v>1</v>
      </c>
      <c r="W234" s="25" t="s">
        <v>758</v>
      </c>
      <c r="X234">
        <v>121</v>
      </c>
      <c r="Y234" t="s">
        <v>911</v>
      </c>
      <c r="Z234" t="s">
        <v>917</v>
      </c>
      <c r="AA234" s="25"/>
    </row>
    <row r="235" spans="1:28" x14ac:dyDescent="0.25">
      <c r="A235" s="4">
        <v>234</v>
      </c>
      <c r="B235" s="4" t="s">
        <v>896</v>
      </c>
      <c r="C235" s="28">
        <v>5.9029999999999996</v>
      </c>
      <c r="D235" s="4">
        <v>2004</v>
      </c>
      <c r="E235" s="5" t="s">
        <v>792</v>
      </c>
      <c r="F235" s="10" t="s">
        <v>779</v>
      </c>
      <c r="G235" s="10" t="s">
        <v>321</v>
      </c>
      <c r="H235" s="10" t="s">
        <v>897</v>
      </c>
      <c r="I235" s="10" t="s">
        <v>820</v>
      </c>
      <c r="J235" s="10" t="s">
        <v>662</v>
      </c>
      <c r="K235" s="10" t="s">
        <v>225</v>
      </c>
      <c r="L235" s="10" t="s">
        <v>219</v>
      </c>
      <c r="M235" s="4">
        <v>5.5</v>
      </c>
      <c r="N235" s="4">
        <v>5</v>
      </c>
      <c r="O235" s="4">
        <v>2.8</v>
      </c>
      <c r="P235" s="20">
        <f>(M235+(N235/10)+(O235*2))/3</f>
        <v>3.8666666666666667</v>
      </c>
      <c r="Q235" s="20">
        <f>(M235+C235+(N235/10)+(O235*2))/4</f>
        <v>4.37575</v>
      </c>
      <c r="R235" s="20">
        <f>(M235+C235+(N235/10))/3</f>
        <v>3.9676666666666662</v>
      </c>
      <c r="S235" s="27">
        <f>IF(C235 &gt; 9.25, 10, IF(C235 &gt; 6.75, ROUND(C235, 0), MAX(1, FLOOR(C235, 1))))</f>
        <v>5</v>
      </c>
      <c r="T235" s="20">
        <f>S235/2</f>
        <v>2.5</v>
      </c>
      <c r="U235" s="25">
        <v>46015</v>
      </c>
      <c r="V235">
        <v>1</v>
      </c>
      <c r="W235" s="25" t="s">
        <v>758</v>
      </c>
      <c r="X235">
        <v>98</v>
      </c>
      <c r="Y235" t="s">
        <v>911</v>
      </c>
      <c r="Z235" t="s">
        <v>825</v>
      </c>
      <c r="AA235" s="25"/>
    </row>
    <row r="236" spans="1:28" x14ac:dyDescent="0.25">
      <c r="A236" s="4">
        <v>235</v>
      </c>
      <c r="B236" s="4" t="s">
        <v>1131</v>
      </c>
      <c r="C236" s="28">
        <v>5.9020000000000001</v>
      </c>
      <c r="D236" s="4">
        <v>1996</v>
      </c>
      <c r="E236" s="10" t="s">
        <v>91</v>
      </c>
      <c r="F236" s="10" t="s">
        <v>997</v>
      </c>
      <c r="G236" s="10" t="s">
        <v>590</v>
      </c>
      <c r="H236" s="10" t="s">
        <v>1132</v>
      </c>
      <c r="I236" s="10" t="s">
        <v>343</v>
      </c>
      <c r="J236" s="10" t="s">
        <v>219</v>
      </c>
      <c r="K236" s="10" t="s">
        <v>209</v>
      </c>
      <c r="M236" s="4">
        <v>7.2</v>
      </c>
      <c r="N236" s="4">
        <v>87</v>
      </c>
      <c r="O236" s="4">
        <v>3.7</v>
      </c>
      <c r="P236" s="20">
        <f>(M236+(N236/10)+(O236*2))/3</f>
        <v>7.7666666666666657</v>
      </c>
      <c r="Q236" s="20">
        <f>(M236+C236+(N236/10)+(O236*2))/4</f>
        <v>7.3004999999999995</v>
      </c>
      <c r="R236" s="20">
        <f>(M236+C236+(N236/10))/3</f>
        <v>7.2673333333333332</v>
      </c>
      <c r="S236" s="27">
        <f>IF(C236 &gt; 9.25, 10, IF(C236 &gt; 6.75, ROUND(C236, 0), MAX(1, FLOOR(C236, 1))))</f>
        <v>5</v>
      </c>
      <c r="T236" s="20">
        <f>S236/2</f>
        <v>2.5</v>
      </c>
      <c r="U236" s="25">
        <v>46174</v>
      </c>
      <c r="V236">
        <v>1</v>
      </c>
      <c r="W236" s="25" t="s">
        <v>758</v>
      </c>
      <c r="X236">
        <v>96</v>
      </c>
      <c r="Y236" t="s">
        <v>911</v>
      </c>
      <c r="Z236" t="s">
        <v>907</v>
      </c>
    </row>
    <row r="237" spans="1:28" x14ac:dyDescent="0.25">
      <c r="A237" s="4">
        <v>236</v>
      </c>
      <c r="B237" s="4" t="s">
        <v>345</v>
      </c>
      <c r="C237" s="28">
        <v>5.9009999999999998</v>
      </c>
      <c r="D237" s="4">
        <v>2004</v>
      </c>
      <c r="E237" s="10" t="s">
        <v>9</v>
      </c>
      <c r="F237" s="10" t="s">
        <v>350</v>
      </c>
      <c r="G237" s="10" t="s">
        <v>1199</v>
      </c>
      <c r="H237" s="10" t="s">
        <v>309</v>
      </c>
      <c r="I237" s="10" t="s">
        <v>42</v>
      </c>
      <c r="J237" t="s">
        <v>215</v>
      </c>
      <c r="K237" s="10" t="s">
        <v>209</v>
      </c>
      <c r="L237" s="10" t="s">
        <v>217</v>
      </c>
      <c r="M237" s="4">
        <v>7.5</v>
      </c>
      <c r="N237" s="4">
        <v>86</v>
      </c>
      <c r="O237" s="4">
        <v>3.9</v>
      </c>
      <c r="P237" s="20">
        <f>(M237+(N237/10)+(O237*2))/3</f>
        <v>7.9666666666666677</v>
      </c>
      <c r="Q237" s="20">
        <f>(M237+C237+(N237/10)+(O237*2))/4</f>
        <v>7.4502499999999996</v>
      </c>
      <c r="R237" s="20">
        <f>(M237+C237+(N237/10))/3</f>
        <v>7.3336666666666659</v>
      </c>
      <c r="S237" s="27">
        <f>IF(C237 &gt; 9.25, 10, IF(C237 &gt; 6.75, ROUND(C237, 0), MAX(1, FLOOR(C237, 1))))</f>
        <v>5</v>
      </c>
      <c r="T237" s="20">
        <f>S237/2</f>
        <v>2.5</v>
      </c>
      <c r="U237" s="25">
        <v>45339</v>
      </c>
      <c r="V237">
        <v>1</v>
      </c>
      <c r="W237" s="25" t="s">
        <v>758</v>
      </c>
      <c r="X237">
        <v>120</v>
      </c>
      <c r="Y237" t="s">
        <v>911</v>
      </c>
      <c r="Z237" t="s">
        <v>825</v>
      </c>
      <c r="AA237" s="25"/>
    </row>
    <row r="238" spans="1:28" x14ac:dyDescent="0.25">
      <c r="A238" s="4">
        <v>237</v>
      </c>
      <c r="B238" s="4" t="s">
        <v>464</v>
      </c>
      <c r="C238" s="28">
        <v>5.806</v>
      </c>
      <c r="D238" s="4">
        <v>1992</v>
      </c>
      <c r="E238" s="10" t="s">
        <v>32</v>
      </c>
      <c r="F238" s="10" t="s">
        <v>466</v>
      </c>
      <c r="G238" s="10" t="s">
        <v>467</v>
      </c>
      <c r="H238" s="10" t="s">
        <v>468</v>
      </c>
      <c r="I238" s="10" t="s">
        <v>465</v>
      </c>
      <c r="J238" t="s">
        <v>219</v>
      </c>
      <c r="K238" t="s">
        <v>215</v>
      </c>
      <c r="L238" s="10" t="s">
        <v>673</v>
      </c>
      <c r="M238" s="4">
        <v>7.6</v>
      </c>
      <c r="N238" s="4">
        <v>86</v>
      </c>
      <c r="O238" s="4">
        <v>3.9</v>
      </c>
      <c r="P238" s="20">
        <f>(M238+(N238/10)+(O238*2))/3</f>
        <v>8</v>
      </c>
      <c r="Q238" s="20">
        <f>(M238+C238+(N238/10)+(O238*2))/4</f>
        <v>7.4515000000000002</v>
      </c>
      <c r="R238" s="20">
        <f>(M238+C238+(N238/10))/3</f>
        <v>7.3353333333333337</v>
      </c>
      <c r="S238" s="27">
        <f>IF(C238 &gt; 9.25, 10, IF(C238 &gt; 6.75, ROUND(C238, 0), MAX(1, FLOOR(C238, 1))))</f>
        <v>5</v>
      </c>
      <c r="T238" s="20">
        <f>S238/2</f>
        <v>2.5</v>
      </c>
      <c r="U238" s="25">
        <v>45139</v>
      </c>
      <c r="V238">
        <v>1</v>
      </c>
      <c r="W238" s="25" t="s">
        <v>758</v>
      </c>
      <c r="X238">
        <v>120</v>
      </c>
      <c r="Y238" t="s">
        <v>911</v>
      </c>
      <c r="Z238" t="s">
        <v>825</v>
      </c>
      <c r="AA238" s="25"/>
    </row>
    <row r="239" spans="1:28" x14ac:dyDescent="0.25">
      <c r="A239" s="4">
        <v>238</v>
      </c>
      <c r="B239" s="4" t="s">
        <v>1141</v>
      </c>
      <c r="C239" s="28">
        <v>5.8049999999999997</v>
      </c>
      <c r="D239" s="4">
        <v>2016</v>
      </c>
      <c r="E239" s="10" t="s">
        <v>458</v>
      </c>
      <c r="F239" s="10" t="s">
        <v>1142</v>
      </c>
      <c r="G239" s="10" t="s">
        <v>272</v>
      </c>
      <c r="H239" s="10" t="s">
        <v>1143</v>
      </c>
      <c r="I239" s="10" t="s">
        <v>1210</v>
      </c>
      <c r="J239" s="10" t="s">
        <v>208</v>
      </c>
      <c r="K239" s="10" t="s">
        <v>223</v>
      </c>
      <c r="L239" s="10" t="s">
        <v>951</v>
      </c>
      <c r="M239" s="4">
        <v>7.5</v>
      </c>
      <c r="N239" s="4">
        <v>89</v>
      </c>
      <c r="O239" s="4">
        <v>3.5</v>
      </c>
      <c r="P239" s="20">
        <f>(M239+(N239/10)+(O239*2))/3</f>
        <v>7.8</v>
      </c>
      <c r="Q239" s="20">
        <f>(M239+C239+(N239/10)+(O239*2))/4</f>
        <v>7.3012499999999996</v>
      </c>
      <c r="R239" s="20">
        <f>(M239+C239+(N239/10))/3</f>
        <v>7.4016666666666664</v>
      </c>
      <c r="S239" s="27">
        <f>IF(C239 &gt; 9.25, 10, IF(C239 &gt; 6.75, ROUND(C239, 0), MAX(1, FLOOR(C239, 1))))</f>
        <v>5</v>
      </c>
      <c r="T239" s="20">
        <f>S239/2</f>
        <v>2.5</v>
      </c>
      <c r="U239" s="25">
        <v>46181</v>
      </c>
      <c r="V239">
        <v>1</v>
      </c>
      <c r="W239" s="25" t="s">
        <v>758</v>
      </c>
      <c r="X239">
        <v>115</v>
      </c>
      <c r="Y239" t="s">
        <v>911</v>
      </c>
      <c r="Z239" t="s">
        <v>907</v>
      </c>
      <c r="AA239" t="s">
        <v>1141</v>
      </c>
      <c r="AB239">
        <v>1</v>
      </c>
    </row>
    <row r="240" spans="1:28" x14ac:dyDescent="0.25">
      <c r="A240" s="4">
        <v>239</v>
      </c>
      <c r="B240" s="4" t="s">
        <v>1231</v>
      </c>
      <c r="C240" s="28">
        <v>5.8040000000000003</v>
      </c>
      <c r="D240" s="4">
        <v>2023</v>
      </c>
      <c r="E240" s="10" t="s">
        <v>105</v>
      </c>
      <c r="F240" s="10" t="s">
        <v>1098</v>
      </c>
      <c r="G240" s="10" t="s">
        <v>1099</v>
      </c>
      <c r="H240" s="10" t="s">
        <v>1232</v>
      </c>
      <c r="I240" s="10" t="s">
        <v>1100</v>
      </c>
      <c r="J240" s="10" t="s">
        <v>208</v>
      </c>
      <c r="K240" s="10" t="s">
        <v>223</v>
      </c>
      <c r="L240" s="10" t="s">
        <v>951</v>
      </c>
      <c r="M240" s="4">
        <v>6</v>
      </c>
      <c r="N240" s="4">
        <v>46</v>
      </c>
      <c r="O240" s="4">
        <v>2.2000000000000002</v>
      </c>
      <c r="P240" s="20">
        <f>(M240+(N240/10)+(O240*2))/3</f>
        <v>5</v>
      </c>
      <c r="Q240" s="20">
        <f>(M240+C240+(N240/10)+(O240*2))/4</f>
        <v>5.2010000000000005</v>
      </c>
      <c r="R240" s="20">
        <f>(M240+C240+(N240/10))/3</f>
        <v>5.468</v>
      </c>
      <c r="S240" s="27">
        <f>IF(C240 &gt; 9.25, 10, IF(C240 &gt; 6.75, ROUND(C240, 0), MAX(1, FLOOR(C240, 1))))</f>
        <v>5</v>
      </c>
      <c r="T240" s="20">
        <f>S240/2</f>
        <v>2.5</v>
      </c>
      <c r="U240" s="25">
        <v>46209</v>
      </c>
      <c r="V240">
        <v>1</v>
      </c>
      <c r="W240" s="25" t="s">
        <v>758</v>
      </c>
      <c r="X240">
        <v>124</v>
      </c>
      <c r="Y240" t="s">
        <v>911</v>
      </c>
      <c r="Z240" t="s">
        <v>907</v>
      </c>
      <c r="AA240" t="s">
        <v>1097</v>
      </c>
      <c r="AB240">
        <v>3</v>
      </c>
    </row>
    <row r="241" spans="1:28" x14ac:dyDescent="0.25">
      <c r="A241" s="4">
        <v>240</v>
      </c>
      <c r="B241" s="4" t="s">
        <v>1094</v>
      </c>
      <c r="C241" s="28">
        <v>5.8029999999999999</v>
      </c>
      <c r="D241" s="4">
        <v>2017</v>
      </c>
      <c r="E241" s="10" t="s">
        <v>576</v>
      </c>
      <c r="F241" s="10" t="s">
        <v>1089</v>
      </c>
      <c r="G241" s="10" t="s">
        <v>578</v>
      </c>
      <c r="H241" s="10" t="s">
        <v>1095</v>
      </c>
      <c r="I241" s="10" t="s">
        <v>1209</v>
      </c>
      <c r="J241" s="10" t="s">
        <v>223</v>
      </c>
      <c r="K241" s="10" t="s">
        <v>209</v>
      </c>
      <c r="L241" s="10" t="s">
        <v>217</v>
      </c>
      <c r="M241" s="4">
        <v>8</v>
      </c>
      <c r="N241" s="4">
        <v>88</v>
      </c>
      <c r="O241" s="4">
        <v>4.0999999999999996</v>
      </c>
      <c r="P241" s="20">
        <f>(M241+(N241/10)+(O241*2))/3</f>
        <v>8.3333333333333339</v>
      </c>
      <c r="Q241" s="20">
        <f>(M241+C241+(N241/10)+(O241*2))/4</f>
        <v>7.7007500000000002</v>
      </c>
      <c r="R241" s="20">
        <f>(M241+C241+(N241/10))/3</f>
        <v>7.5343333333333335</v>
      </c>
      <c r="S241" s="27">
        <f>IF(C241 &gt; 9.25, 10, IF(C241 &gt; 6.75, ROUND(C241, 0), MAX(1, FLOOR(C241, 1))))</f>
        <v>5</v>
      </c>
      <c r="T241" s="20">
        <f>S241/2</f>
        <v>2.5</v>
      </c>
      <c r="U241" s="25">
        <v>46155</v>
      </c>
      <c r="V241">
        <v>1</v>
      </c>
      <c r="W241" s="25" t="s">
        <v>758</v>
      </c>
      <c r="X241">
        <v>163</v>
      </c>
      <c r="Y241" t="s">
        <v>911</v>
      </c>
      <c r="Z241" t="s">
        <v>907</v>
      </c>
      <c r="AA241" t="s">
        <v>1088</v>
      </c>
      <c r="AB241">
        <v>2</v>
      </c>
    </row>
    <row r="242" spans="1:28" x14ac:dyDescent="0.25">
      <c r="A242" s="4">
        <v>241</v>
      </c>
      <c r="B242" s="4" t="s">
        <v>449</v>
      </c>
      <c r="C242" s="28">
        <v>5.8019999999999996</v>
      </c>
      <c r="D242" s="4">
        <v>1986</v>
      </c>
      <c r="E242" s="5" t="s">
        <v>9</v>
      </c>
      <c r="F242" s="10" t="s">
        <v>450</v>
      </c>
      <c r="G242" s="10" t="s">
        <v>452</v>
      </c>
      <c r="H242" s="10" t="s">
        <v>453</v>
      </c>
      <c r="I242" s="10" t="s">
        <v>35</v>
      </c>
      <c r="J242" s="10" t="s">
        <v>210</v>
      </c>
      <c r="K242" s="10" t="s">
        <v>209</v>
      </c>
      <c r="M242" s="4">
        <v>7.2</v>
      </c>
      <c r="N242" s="4">
        <v>89</v>
      </c>
      <c r="O242" s="4">
        <v>3.7</v>
      </c>
      <c r="P242" s="20">
        <f>(M242+(N242/10)+(O242*2))/3</f>
        <v>7.833333333333333</v>
      </c>
      <c r="Q242" s="20">
        <f>(M242+C242+(N242/10)+(O242*2))/4</f>
        <v>7.3254999999999999</v>
      </c>
      <c r="R242" s="20">
        <f>(M242+C242+(N242/10))/3</f>
        <v>7.3006666666666673</v>
      </c>
      <c r="S242" s="27">
        <f>IF(C242 &gt; 9.25, 10, IF(C242 &gt; 6.75, ROUND(C242, 0), MAX(1, FLOOR(C242, 1))))</f>
        <v>5</v>
      </c>
      <c r="T242" s="20">
        <f>S242/2</f>
        <v>2.5</v>
      </c>
      <c r="U242" s="25">
        <v>45119</v>
      </c>
      <c r="V242">
        <v>1</v>
      </c>
      <c r="W242" s="25" t="s">
        <v>758</v>
      </c>
      <c r="X242">
        <v>119</v>
      </c>
      <c r="Y242" t="s">
        <v>911</v>
      </c>
      <c r="Z242" t="s">
        <v>825</v>
      </c>
      <c r="AA242" s="25"/>
    </row>
    <row r="243" spans="1:28" x14ac:dyDescent="0.25">
      <c r="A243" s="4">
        <v>242</v>
      </c>
      <c r="B243" s="4" t="s">
        <v>507</v>
      </c>
      <c r="C243" s="28">
        <v>5.8010000000000002</v>
      </c>
      <c r="D243" s="4">
        <v>2015</v>
      </c>
      <c r="E243" s="5" t="s">
        <v>508</v>
      </c>
      <c r="F243" s="10" t="s">
        <v>509</v>
      </c>
      <c r="G243" s="10" t="s">
        <v>510</v>
      </c>
      <c r="H243" s="10" t="s">
        <v>511</v>
      </c>
      <c r="I243" s="10" t="s">
        <v>1209</v>
      </c>
      <c r="J243" s="10" t="s">
        <v>226</v>
      </c>
      <c r="K243" s="10" t="s">
        <v>215</v>
      </c>
      <c r="L243" s="10" t="s">
        <v>209</v>
      </c>
      <c r="M243" s="4">
        <v>7.7</v>
      </c>
      <c r="N243" s="4">
        <v>92</v>
      </c>
      <c r="O243" s="4">
        <v>4</v>
      </c>
      <c r="P243" s="20">
        <f>(M243+(N243/10)+(O243*2))/3</f>
        <v>8.2999999999999989</v>
      </c>
      <c r="Q243" s="20">
        <f>(M243+C243+(N243/10)+(O243*2))/4</f>
        <v>7.6752500000000001</v>
      </c>
      <c r="R243" s="20">
        <f>(M243+C243+(N243/10))/3</f>
        <v>7.5670000000000002</v>
      </c>
      <c r="S243" s="27">
        <f>IF(C243 &gt; 9.25, 10, IF(C243 &gt; 6.75, ROUND(C243, 0), MAX(1, FLOOR(C243, 1))))</f>
        <v>5</v>
      </c>
      <c r="T243" s="20">
        <f>S243/2</f>
        <v>2.5</v>
      </c>
      <c r="U243" s="25">
        <v>45283</v>
      </c>
      <c r="V243">
        <v>1</v>
      </c>
      <c r="W243" s="25" t="s">
        <v>758</v>
      </c>
      <c r="X243">
        <v>121</v>
      </c>
      <c r="Y243" t="s">
        <v>911</v>
      </c>
      <c r="Z243" t="s">
        <v>825</v>
      </c>
      <c r="AA243" s="25"/>
    </row>
    <row r="244" spans="1:28" x14ac:dyDescent="0.25">
      <c r="A244" s="4">
        <v>243</v>
      </c>
      <c r="B244" s="4" t="s">
        <v>1133</v>
      </c>
      <c r="C244" s="28">
        <v>5.7039999999999997</v>
      </c>
      <c r="D244" s="4">
        <v>2021</v>
      </c>
      <c r="E244" s="10" t="s">
        <v>1002</v>
      </c>
      <c r="F244" s="10" t="s">
        <v>1134</v>
      </c>
      <c r="G244" s="10" t="s">
        <v>413</v>
      </c>
      <c r="H244" s="10" t="s">
        <v>552</v>
      </c>
      <c r="I244" s="10" t="s">
        <v>1135</v>
      </c>
      <c r="J244" s="10" t="s">
        <v>208</v>
      </c>
      <c r="K244" s="10" t="s">
        <v>223</v>
      </c>
      <c r="L244" s="10" t="s">
        <v>951</v>
      </c>
      <c r="M244" s="4">
        <v>6.6</v>
      </c>
      <c r="N244" s="4">
        <v>79</v>
      </c>
      <c r="O244" s="4">
        <v>2.9</v>
      </c>
      <c r="P244" s="20">
        <f>(M244+(N244/10)+(O244*2))/3</f>
        <v>6.7666666666666666</v>
      </c>
      <c r="Q244" s="20">
        <f>(M244+C244+(N244/10)+(O244*2))/4</f>
        <v>6.5010000000000003</v>
      </c>
      <c r="R244" s="20">
        <f>(M244+C244+(N244/10))/3</f>
        <v>6.7346666666666666</v>
      </c>
      <c r="S244" s="27">
        <f>IF(C244 &gt; 9.25, 10, IF(C244 &gt; 6.75, ROUND(C244, 0), MAX(1, FLOOR(C244, 1))))</f>
        <v>5</v>
      </c>
      <c r="T244" s="20">
        <f>S244/2</f>
        <v>2.5</v>
      </c>
      <c r="U244" s="25">
        <v>46176</v>
      </c>
      <c r="V244">
        <v>1</v>
      </c>
      <c r="W244" s="25" t="s">
        <v>758</v>
      </c>
      <c r="X244">
        <v>134</v>
      </c>
      <c r="Y244" t="s">
        <v>911</v>
      </c>
      <c r="Z244" t="s">
        <v>907</v>
      </c>
      <c r="AA244" t="s">
        <v>1126</v>
      </c>
      <c r="AB244">
        <v>16</v>
      </c>
    </row>
    <row r="245" spans="1:28" x14ac:dyDescent="0.25">
      <c r="A245" s="4">
        <v>244</v>
      </c>
      <c r="B245" s="4" t="s">
        <v>361</v>
      </c>
      <c r="C245" s="28">
        <v>5.7030000000000003</v>
      </c>
      <c r="D245" s="4">
        <v>2014</v>
      </c>
      <c r="E245" s="5" t="s">
        <v>1200</v>
      </c>
      <c r="F245" s="10" t="s">
        <v>362</v>
      </c>
      <c r="G245" s="10" t="s">
        <v>363</v>
      </c>
      <c r="H245" s="10" t="s">
        <v>364</v>
      </c>
      <c r="I245" s="10" t="s">
        <v>365</v>
      </c>
      <c r="J245" s="10" t="s">
        <v>208</v>
      </c>
      <c r="K245" s="10" t="s">
        <v>215</v>
      </c>
      <c r="L245" s="10" t="s">
        <v>217</v>
      </c>
      <c r="M245" s="4">
        <v>7.4</v>
      </c>
      <c r="N245" s="4">
        <v>87</v>
      </c>
      <c r="O245" s="4">
        <v>3.8</v>
      </c>
      <c r="P245" s="20">
        <f>(M245+(N245/10)+(O245*2))/3</f>
        <v>7.9000000000000012</v>
      </c>
      <c r="Q245" s="20">
        <f>(M245+C245+(N245/10)+(O245*2))/4</f>
        <v>7.3507499999999997</v>
      </c>
      <c r="R245" s="20">
        <f>(M245+C245+(N245/10))/3</f>
        <v>7.2676666666666669</v>
      </c>
      <c r="S245" s="27">
        <f>IF(C245 &gt; 9.25, 10, IF(C245 &gt; 6.75, ROUND(C245, 0), MAX(1, FLOOR(C245, 1))))</f>
        <v>5</v>
      </c>
      <c r="T245" s="20">
        <f>S245/2</f>
        <v>2.5</v>
      </c>
      <c r="U245" s="25">
        <v>45106</v>
      </c>
      <c r="V245">
        <v>1</v>
      </c>
      <c r="W245" s="25" t="s">
        <v>758</v>
      </c>
      <c r="X245">
        <v>101</v>
      </c>
      <c r="Y245" t="s">
        <v>911</v>
      </c>
      <c r="Z245" t="s">
        <v>825</v>
      </c>
      <c r="AA245" s="25" t="s">
        <v>361</v>
      </c>
      <c r="AB245">
        <v>1</v>
      </c>
    </row>
    <row r="246" spans="1:28" x14ac:dyDescent="0.25">
      <c r="A246" s="4">
        <v>245</v>
      </c>
      <c r="B246" s="4" t="s">
        <v>741</v>
      </c>
      <c r="C246" s="28">
        <v>5.702</v>
      </c>
      <c r="D246" s="4">
        <v>2019</v>
      </c>
      <c r="E246" s="5" t="s">
        <v>12</v>
      </c>
      <c r="F246" s="10" t="s">
        <v>52</v>
      </c>
      <c r="G246" s="10" t="s">
        <v>248</v>
      </c>
      <c r="H246" s="10" t="s">
        <v>579</v>
      </c>
      <c r="I246" s="10" t="s">
        <v>61</v>
      </c>
      <c r="J246" s="10" t="s">
        <v>209</v>
      </c>
      <c r="K246" s="10" t="s">
        <v>219</v>
      </c>
      <c r="M246" s="4">
        <v>7.6</v>
      </c>
      <c r="N246" s="4">
        <v>85</v>
      </c>
      <c r="O246" s="4">
        <v>3.8</v>
      </c>
      <c r="P246" s="20">
        <f>(M246+(N246/10)+(O246*2))/3</f>
        <v>7.9000000000000012</v>
      </c>
      <c r="Q246" s="20">
        <f>(M246+C246+(N246/10)+(O246*2))/4</f>
        <v>7.3505000000000003</v>
      </c>
      <c r="R246" s="20">
        <f>(M246+C246+(N246/10))/3</f>
        <v>7.2673333333333332</v>
      </c>
      <c r="S246" s="27">
        <f>IF(C246 &gt; 9.25, 10, IF(C246 &gt; 6.75, ROUND(C246, 0), MAX(1, FLOOR(C246, 1))))</f>
        <v>5</v>
      </c>
      <c r="T246" s="20">
        <f>S246/2</f>
        <v>2.5</v>
      </c>
      <c r="U246" s="25">
        <v>45430</v>
      </c>
      <c r="V246">
        <v>1</v>
      </c>
      <c r="W246" s="25" t="s">
        <v>758</v>
      </c>
      <c r="X246">
        <v>161</v>
      </c>
      <c r="Y246" t="s">
        <v>911</v>
      </c>
      <c r="Z246" t="s">
        <v>907</v>
      </c>
      <c r="AA246" s="25"/>
    </row>
    <row r="247" spans="1:28" x14ac:dyDescent="0.25">
      <c r="A247" s="4">
        <v>246</v>
      </c>
      <c r="B247" s="4" t="s">
        <v>826</v>
      </c>
      <c r="C247" s="28">
        <v>5.7009999999999996</v>
      </c>
      <c r="D247" s="4">
        <v>1999</v>
      </c>
      <c r="E247" s="5" t="s">
        <v>67</v>
      </c>
      <c r="F247" s="10" t="s">
        <v>278</v>
      </c>
      <c r="G247" s="10" t="s">
        <v>1174</v>
      </c>
      <c r="H247" s="10" t="s">
        <v>797</v>
      </c>
      <c r="I247" s="10" t="s">
        <v>764</v>
      </c>
      <c r="J247" s="10" t="s">
        <v>210</v>
      </c>
      <c r="K247" s="10" t="s">
        <v>221</v>
      </c>
      <c r="L247" s="10" t="s">
        <v>209</v>
      </c>
      <c r="M247" s="4">
        <v>6.6</v>
      </c>
      <c r="N247" s="4">
        <v>47</v>
      </c>
      <c r="O247" s="4">
        <v>3</v>
      </c>
      <c r="P247" s="20">
        <f>(M247+(N247/10)+(O247*2))/3</f>
        <v>5.7666666666666666</v>
      </c>
      <c r="Q247" s="20">
        <f>(M247+C247+(N247/10)+(O247*2))/4</f>
        <v>5.7502499999999994</v>
      </c>
      <c r="R247" s="20">
        <f>(M247+C247+(N247/10))/3</f>
        <v>5.6669999999999989</v>
      </c>
      <c r="S247" s="27">
        <f>IF(C247 &gt; 9.25, 10, IF(C247 &gt; 6.75, ROUND(C247, 0), MAX(1, FLOOR(C247, 1))))</f>
        <v>5</v>
      </c>
      <c r="T247" s="20">
        <f>S247/2</f>
        <v>2.5</v>
      </c>
      <c r="U247" s="25">
        <v>45841</v>
      </c>
      <c r="V247">
        <v>1</v>
      </c>
      <c r="W247" s="25" t="s">
        <v>758</v>
      </c>
      <c r="X247">
        <v>137</v>
      </c>
      <c r="Y247" t="s">
        <v>923</v>
      </c>
      <c r="Z247" t="s">
        <v>914</v>
      </c>
      <c r="AA247" s="25"/>
    </row>
    <row r="248" spans="1:28" x14ac:dyDescent="0.25">
      <c r="A248" s="4">
        <v>247</v>
      </c>
      <c r="B248" s="4" t="s">
        <v>446</v>
      </c>
      <c r="C248" s="28">
        <v>5.6029999999999998</v>
      </c>
      <c r="D248" s="4">
        <v>2003</v>
      </c>
      <c r="E248" s="5" t="s">
        <v>447</v>
      </c>
      <c r="F248" s="10" t="s">
        <v>91</v>
      </c>
      <c r="G248" s="10" t="s">
        <v>10</v>
      </c>
      <c r="H248" s="10" t="s">
        <v>448</v>
      </c>
      <c r="I248" s="10" t="s">
        <v>155</v>
      </c>
      <c r="J248" s="10" t="s">
        <v>219</v>
      </c>
      <c r="M248" s="4">
        <v>7</v>
      </c>
      <c r="N248" s="4">
        <v>60</v>
      </c>
      <c r="O248" s="4">
        <v>3.2</v>
      </c>
      <c r="P248" s="20">
        <f>(M248+(N248/10)+(O248*2))/3</f>
        <v>6.4666666666666659</v>
      </c>
      <c r="Q248" s="20">
        <f>(M248+C248+(N248/10)+(O248*2))/4</f>
        <v>6.25075</v>
      </c>
      <c r="R248" s="20">
        <f>(M248+C248+(N248/10))/3</f>
        <v>6.2010000000000005</v>
      </c>
      <c r="S248" s="27">
        <f>IF(C248 &gt; 9.25, 10, IF(C248 &gt; 6.75, ROUND(C248, 0), MAX(1, FLOOR(C248, 1))))</f>
        <v>5</v>
      </c>
      <c r="T248" s="20">
        <f>S248/2</f>
        <v>2.5</v>
      </c>
      <c r="U248" s="25">
        <v>45114</v>
      </c>
      <c r="V248">
        <v>1</v>
      </c>
      <c r="W248" s="25" t="s">
        <v>758</v>
      </c>
      <c r="X248">
        <v>88</v>
      </c>
      <c r="Y248" t="s">
        <v>911</v>
      </c>
      <c r="Z248" t="s">
        <v>825</v>
      </c>
      <c r="AA248" s="25"/>
    </row>
    <row r="249" spans="1:28" x14ac:dyDescent="0.25">
      <c r="A249" s="4">
        <v>248</v>
      </c>
      <c r="B249" s="4" t="s">
        <v>101</v>
      </c>
      <c r="C249" s="28">
        <v>5.6020000000000003</v>
      </c>
      <c r="D249" s="4">
        <v>2019</v>
      </c>
      <c r="E249" s="5" t="s">
        <v>30</v>
      </c>
      <c r="F249" s="10" t="s">
        <v>41</v>
      </c>
      <c r="G249" s="10" t="s">
        <v>32</v>
      </c>
      <c r="H249" s="10" t="s">
        <v>313</v>
      </c>
      <c r="I249" s="10" t="s">
        <v>35</v>
      </c>
      <c r="J249" s="10" t="s">
        <v>215</v>
      </c>
      <c r="K249" s="10" t="s">
        <v>209</v>
      </c>
      <c r="L249" s="10" t="s">
        <v>672</v>
      </c>
      <c r="M249" s="4">
        <v>7.8</v>
      </c>
      <c r="N249" s="4">
        <v>96</v>
      </c>
      <c r="O249" s="4">
        <v>3.9</v>
      </c>
      <c r="P249" s="20">
        <f>(M249+(N249/10)+(O249*2))/3</f>
        <v>8.4</v>
      </c>
      <c r="Q249" s="20">
        <f>(M249+C249+(N249/10)+(O249*2))/4</f>
        <v>7.7005000000000008</v>
      </c>
      <c r="R249" s="20">
        <f>(M249+C249+(N249/10))/3</f>
        <v>7.6673333333333344</v>
      </c>
      <c r="S249" s="27">
        <f>IF(C249 &gt; 9.25, 10, IF(C249 &gt; 6.75, ROUND(C249, 0), MAX(1, FLOOR(C249, 1))))</f>
        <v>5</v>
      </c>
      <c r="T249" s="20">
        <f>S249/2</f>
        <v>2.5</v>
      </c>
      <c r="U249" s="25">
        <v>44757</v>
      </c>
      <c r="V249">
        <v>1</v>
      </c>
      <c r="W249" s="25" t="s">
        <v>758</v>
      </c>
      <c r="X249">
        <v>209</v>
      </c>
      <c r="Y249" t="s">
        <v>911</v>
      </c>
      <c r="Z249" t="s">
        <v>921</v>
      </c>
      <c r="AA249" s="25"/>
    </row>
    <row r="250" spans="1:28" x14ac:dyDescent="0.25">
      <c r="A250" s="4">
        <v>249</v>
      </c>
      <c r="B250" s="4" t="s">
        <v>378</v>
      </c>
      <c r="C250" s="28">
        <v>5.601</v>
      </c>
      <c r="D250" s="4">
        <v>2005</v>
      </c>
      <c r="E250" s="5" t="s">
        <v>10</v>
      </c>
      <c r="F250" s="10" t="s">
        <v>379</v>
      </c>
      <c r="G250" s="10" t="s">
        <v>380</v>
      </c>
      <c r="H250" s="10" t="s">
        <v>381</v>
      </c>
      <c r="I250" s="10" t="s">
        <v>382</v>
      </c>
      <c r="J250" s="10" t="s">
        <v>219</v>
      </c>
      <c r="K250" s="10" t="s">
        <v>210</v>
      </c>
      <c r="L250" s="10" t="s">
        <v>221</v>
      </c>
      <c r="M250" s="4">
        <v>5.6</v>
      </c>
      <c r="N250" s="4">
        <v>41</v>
      </c>
      <c r="O250" s="4">
        <v>2.8</v>
      </c>
      <c r="P250" s="20">
        <f>(M250+(N250/10)+(O250*2))/3</f>
        <v>5.0999999999999996</v>
      </c>
      <c r="Q250" s="20">
        <f>(M250+C250+(N250/10)+(O250*2))/4</f>
        <v>5.22525</v>
      </c>
      <c r="R250" s="20">
        <f>(M250+C250+(N250/10))/3</f>
        <v>5.1003333333333334</v>
      </c>
      <c r="S250" s="27">
        <f>IF(C250 &gt; 9.25, 10, IF(C250 &gt; 6.75, ROUND(C250, 0), MAX(1, FLOOR(C250, 1))))</f>
        <v>5</v>
      </c>
      <c r="T250" s="20">
        <f>S250/2</f>
        <v>2.5</v>
      </c>
      <c r="U250" s="25">
        <v>45094</v>
      </c>
      <c r="V250">
        <v>1</v>
      </c>
      <c r="W250" s="25" t="s">
        <v>758</v>
      </c>
      <c r="X250">
        <v>95</v>
      </c>
      <c r="Y250" t="s">
        <v>911</v>
      </c>
      <c r="Z250" t="s">
        <v>825</v>
      </c>
      <c r="AA250" s="25"/>
    </row>
    <row r="251" spans="1:28" x14ac:dyDescent="0.25">
      <c r="A251" s="4">
        <v>250</v>
      </c>
      <c r="B251" s="4" t="s">
        <v>730</v>
      </c>
      <c r="C251" s="28">
        <v>5.5030000000000001</v>
      </c>
      <c r="D251" s="4">
        <v>2007</v>
      </c>
      <c r="E251" s="10" t="s">
        <v>10</v>
      </c>
      <c r="F251" s="10" t="s">
        <v>856</v>
      </c>
      <c r="G251" s="10" t="s">
        <v>538</v>
      </c>
      <c r="H251" s="10" t="s">
        <v>887</v>
      </c>
      <c r="I251" s="10" t="s">
        <v>888</v>
      </c>
      <c r="J251" s="10" t="s">
        <v>219</v>
      </c>
      <c r="K251" s="10" t="s">
        <v>210</v>
      </c>
      <c r="M251" s="4">
        <v>6.3</v>
      </c>
      <c r="N251" s="4">
        <v>7</v>
      </c>
      <c r="O251" s="4">
        <v>3.1</v>
      </c>
      <c r="P251" s="20">
        <f>(M251+(N251/10)+(O251*2))/3</f>
        <v>4.3999999999999995</v>
      </c>
      <c r="Q251" s="20">
        <f>(M251+C251+(N251/10)+(O251*2))/4</f>
        <v>4.6757499999999999</v>
      </c>
      <c r="R251" s="20">
        <f>(M251+C251+(N251/10))/3</f>
        <v>4.1676666666666664</v>
      </c>
      <c r="S251" s="27">
        <f>IF(C251 &gt; 9.25, 10, IF(C251 &gt; 6.75, ROUND(C251, 0), MAX(1, FLOOR(C251, 1))))</f>
        <v>5</v>
      </c>
      <c r="T251" s="20">
        <f>S251/2</f>
        <v>2.5</v>
      </c>
      <c r="U251" s="25">
        <v>45919</v>
      </c>
      <c r="V251">
        <v>1</v>
      </c>
      <c r="W251" s="25" t="s">
        <v>758</v>
      </c>
      <c r="X251">
        <v>93</v>
      </c>
      <c r="Y251" t="s">
        <v>911</v>
      </c>
      <c r="Z251" t="s">
        <v>907</v>
      </c>
      <c r="AA251" s="25"/>
    </row>
    <row r="252" spans="1:28" x14ac:dyDescent="0.25">
      <c r="A252" s="4">
        <v>251</v>
      </c>
      <c r="B252" s="4" t="s">
        <v>229</v>
      </c>
      <c r="C252" s="28">
        <v>5.5019999999999998</v>
      </c>
      <c r="D252" s="4">
        <v>2011</v>
      </c>
      <c r="E252" s="10" t="s">
        <v>151</v>
      </c>
      <c r="F252" s="10" t="s">
        <v>152</v>
      </c>
      <c r="G252" s="10" t="s">
        <v>154</v>
      </c>
      <c r="H252" s="10" t="s">
        <v>153</v>
      </c>
      <c r="I252" s="10" t="s">
        <v>155</v>
      </c>
      <c r="J252" s="10" t="s">
        <v>219</v>
      </c>
      <c r="K252" s="10"/>
      <c r="M252" s="4">
        <v>6.5</v>
      </c>
      <c r="N252" s="4">
        <v>33</v>
      </c>
      <c r="O252" s="4">
        <v>3.1</v>
      </c>
      <c r="P252" s="20">
        <f>(M252+(N252/10)+(O252*2))/3</f>
        <v>5.333333333333333</v>
      </c>
      <c r="Q252" s="20">
        <f>(M252+C252+(N252/10)+(O252*2))/4</f>
        <v>5.3754999999999997</v>
      </c>
      <c r="R252" s="20">
        <f>(M252+C252+(N252/10))/3</f>
        <v>5.1006666666666662</v>
      </c>
      <c r="S252" s="27">
        <f>IF(C252 &gt; 9.25, 10, IF(C252 &gt; 6.75, ROUND(C252, 0), MAX(1, FLOOR(C252, 1))))</f>
        <v>5</v>
      </c>
      <c r="T252" s="20">
        <f>S252/2</f>
        <v>2.5</v>
      </c>
      <c r="U252" s="25">
        <v>45071</v>
      </c>
      <c r="V252">
        <v>1</v>
      </c>
      <c r="W252" s="25" t="s">
        <v>758</v>
      </c>
      <c r="X252">
        <v>102</v>
      </c>
      <c r="Y252" t="s">
        <v>911</v>
      </c>
      <c r="Z252" t="s">
        <v>825</v>
      </c>
      <c r="AA252" s="25" t="s">
        <v>150</v>
      </c>
      <c r="AB252">
        <v>2</v>
      </c>
    </row>
    <row r="253" spans="1:28" x14ac:dyDescent="0.25">
      <c r="A253" s="4">
        <v>252</v>
      </c>
      <c r="B253" s="4" t="s">
        <v>228</v>
      </c>
      <c r="C253" s="28">
        <v>5.5010000000000003</v>
      </c>
      <c r="D253" s="4">
        <v>2013</v>
      </c>
      <c r="E253" s="10" t="s">
        <v>151</v>
      </c>
      <c r="F253" s="10" t="s">
        <v>152</v>
      </c>
      <c r="G253" s="10" t="s">
        <v>154</v>
      </c>
      <c r="H253" s="10" t="s">
        <v>153</v>
      </c>
      <c r="I253" s="10" t="s">
        <v>155</v>
      </c>
      <c r="J253" s="10" t="s">
        <v>219</v>
      </c>
      <c r="K253" s="10"/>
      <c r="M253" s="4">
        <v>5.8</v>
      </c>
      <c r="N253" s="4">
        <v>20</v>
      </c>
      <c r="O253" s="4">
        <v>2.7</v>
      </c>
      <c r="P253" s="20">
        <f>(M253+(N253/10)+(O253*2))/3</f>
        <v>4.3999999999999995</v>
      </c>
      <c r="Q253" s="20">
        <f>(M253+C253+(N253/10)+(O253*2))/4</f>
        <v>4.6752500000000001</v>
      </c>
      <c r="R253" s="20">
        <f>(M253+C253+(N253/10))/3</f>
        <v>4.4336666666666664</v>
      </c>
      <c r="S253" s="27">
        <f>IF(C253 &gt; 9.25, 10, IF(C253 &gt; 6.75, ROUND(C253, 0), MAX(1, FLOOR(C253, 1))))</f>
        <v>5</v>
      </c>
      <c r="T253" s="20">
        <f>S253/2</f>
        <v>2.5</v>
      </c>
      <c r="U253" s="25">
        <v>45071</v>
      </c>
      <c r="V253">
        <v>1</v>
      </c>
      <c r="W253" s="25" t="s">
        <v>758</v>
      </c>
      <c r="X253">
        <v>100</v>
      </c>
      <c r="Y253" t="s">
        <v>911</v>
      </c>
      <c r="Z253" t="s">
        <v>825</v>
      </c>
      <c r="AA253" s="25" t="s">
        <v>150</v>
      </c>
      <c r="AB253">
        <v>3</v>
      </c>
    </row>
    <row r="254" spans="1:28" x14ac:dyDescent="0.25">
      <c r="A254" s="4">
        <v>253</v>
      </c>
      <c r="B254" s="4" t="s">
        <v>1088</v>
      </c>
      <c r="C254" s="28">
        <v>5.4039999999999999</v>
      </c>
      <c r="D254" s="4">
        <v>1982</v>
      </c>
      <c r="E254" s="10" t="s">
        <v>1089</v>
      </c>
      <c r="F254" s="10" t="s">
        <v>1090</v>
      </c>
      <c r="G254" s="10" t="s">
        <v>1091</v>
      </c>
      <c r="H254" s="10" t="s">
        <v>1092</v>
      </c>
      <c r="I254" s="10" t="s">
        <v>505</v>
      </c>
      <c r="J254" s="10" t="s">
        <v>223</v>
      </c>
      <c r="K254" s="10" t="s">
        <v>209</v>
      </c>
      <c r="L254" s="10" t="s">
        <v>217</v>
      </c>
      <c r="M254" s="4">
        <v>8.1</v>
      </c>
      <c r="N254" s="4">
        <v>89</v>
      </c>
      <c r="O254" s="4">
        <v>4.0999999999999996</v>
      </c>
      <c r="P254" s="20">
        <f>(M254+(N254/10)+(O254*2))/3</f>
        <v>8.4</v>
      </c>
      <c r="Q254" s="20">
        <f>(M254+C254+(N254/10)+(O254*2))/4</f>
        <v>7.6509999999999998</v>
      </c>
      <c r="R254" s="20">
        <f>(M254+C254+(N254/10))/3</f>
        <v>7.468</v>
      </c>
      <c r="S254" s="27">
        <f>IF(C254 &gt; 9.25, 10, IF(C254 &gt; 6.75, ROUND(C254, 0), MAX(1, FLOOR(C254, 1))))</f>
        <v>5</v>
      </c>
      <c r="T254" s="20">
        <f>S254/2</f>
        <v>2.5</v>
      </c>
      <c r="U254" s="25">
        <v>46155</v>
      </c>
      <c r="V254">
        <v>1</v>
      </c>
      <c r="W254" s="25" t="s">
        <v>758</v>
      </c>
      <c r="X254">
        <v>117</v>
      </c>
      <c r="Y254" t="s">
        <v>911</v>
      </c>
      <c r="Z254" t="s">
        <v>907</v>
      </c>
      <c r="AA254" t="s">
        <v>1088</v>
      </c>
      <c r="AB254">
        <v>1</v>
      </c>
    </row>
    <row r="255" spans="1:28" x14ac:dyDescent="0.25">
      <c r="A255" s="4">
        <v>254</v>
      </c>
      <c r="B255" s="4" t="s">
        <v>114</v>
      </c>
      <c r="C255" s="28">
        <v>5.4039999999999999</v>
      </c>
      <c r="D255" s="4">
        <v>2010</v>
      </c>
      <c r="E255" s="5" t="s">
        <v>46</v>
      </c>
      <c r="F255" s="10" t="s">
        <v>116</v>
      </c>
      <c r="G255" s="10" t="s">
        <v>218</v>
      </c>
      <c r="H255" s="10" t="s">
        <v>115</v>
      </c>
      <c r="I255" s="10" t="s">
        <v>47</v>
      </c>
      <c r="J255" s="10" t="s">
        <v>219</v>
      </c>
      <c r="M255" s="4">
        <v>5.9</v>
      </c>
      <c r="N255" s="4">
        <v>11</v>
      </c>
      <c r="O255" s="4">
        <v>3.3</v>
      </c>
      <c r="P255" s="20">
        <f>(M255+(N255/10)+(O255*2))/3</f>
        <v>4.5333333333333332</v>
      </c>
      <c r="Q255" s="20">
        <f>(M255+C255+(N255/10)+(O255*2))/4</f>
        <v>4.7509999999999994</v>
      </c>
      <c r="R255" s="20">
        <f>(M255+C255+(N255/10))/3</f>
        <v>4.1346666666666669</v>
      </c>
      <c r="S255" s="27">
        <f>IF(C255 &gt; 9.25, 10, IF(C255 &gt; 6.75, ROUND(C255, 0), MAX(1, FLOOR(C255, 1))))</f>
        <v>5</v>
      </c>
      <c r="T255" s="20">
        <f>S255/2</f>
        <v>2.5</v>
      </c>
      <c r="U255" s="25">
        <v>44671</v>
      </c>
      <c r="V255">
        <v>1</v>
      </c>
      <c r="W255" s="25" t="s">
        <v>758</v>
      </c>
      <c r="X255">
        <v>102</v>
      </c>
      <c r="Y255" t="s">
        <v>911</v>
      </c>
      <c r="Z255" t="s">
        <v>924</v>
      </c>
      <c r="AA255" s="25"/>
    </row>
    <row r="256" spans="1:28" x14ac:dyDescent="0.25">
      <c r="A256" s="4">
        <v>255</v>
      </c>
      <c r="B256" s="4" t="s">
        <v>726</v>
      </c>
      <c r="C256" s="28">
        <v>5.4029999999999996</v>
      </c>
      <c r="D256" s="4">
        <v>2002</v>
      </c>
      <c r="E256" s="10" t="s">
        <v>9</v>
      </c>
      <c r="F256" s="10" t="s">
        <v>771</v>
      </c>
      <c r="G256" s="10" t="s">
        <v>891</v>
      </c>
      <c r="H256" s="10" t="s">
        <v>892</v>
      </c>
      <c r="I256" s="10" t="s">
        <v>64</v>
      </c>
      <c r="J256" s="10" t="s">
        <v>223</v>
      </c>
      <c r="K256" t="s">
        <v>216</v>
      </c>
      <c r="L256" s="10" t="s">
        <v>215</v>
      </c>
      <c r="M256" s="4">
        <v>7.6</v>
      </c>
      <c r="N256" s="4">
        <v>89</v>
      </c>
      <c r="O256" s="4">
        <v>3.8</v>
      </c>
      <c r="P256" s="20">
        <f>(M256+(N256/10)+(O256*2))/3</f>
        <v>8.0333333333333332</v>
      </c>
      <c r="Q256" s="20">
        <f>(M256+C256+(N256/10)+(O256*2))/4</f>
        <v>7.37575</v>
      </c>
      <c r="R256" s="20">
        <f>(M256+C256+(N256/10))/3</f>
        <v>7.3009999999999993</v>
      </c>
      <c r="S256" s="27">
        <f>IF(C256 &gt; 9.25, 10, IF(C256 &gt; 6.75, ROUND(C256, 0), MAX(1, FLOOR(C256, 1))))</f>
        <v>5</v>
      </c>
      <c r="T256" s="20">
        <f>S256/2</f>
        <v>2.5</v>
      </c>
      <c r="U256" s="25">
        <v>45933</v>
      </c>
      <c r="V256">
        <v>1</v>
      </c>
      <c r="W256" s="25" t="s">
        <v>758</v>
      </c>
      <c r="X256">
        <v>145</v>
      </c>
      <c r="Y256" t="s">
        <v>911</v>
      </c>
      <c r="Z256" t="s">
        <v>917</v>
      </c>
      <c r="AA256" s="25"/>
    </row>
    <row r="257" spans="1:28" x14ac:dyDescent="0.25">
      <c r="A257" s="4">
        <v>256</v>
      </c>
      <c r="B257" s="4" t="s">
        <v>111</v>
      </c>
      <c r="C257" s="28">
        <v>5.4020000000000001</v>
      </c>
      <c r="D257" s="4">
        <v>2012</v>
      </c>
      <c r="E257" s="5" t="s">
        <v>24</v>
      </c>
      <c r="F257" s="10" t="s">
        <v>113</v>
      </c>
      <c r="G257" s="10" t="s">
        <v>112</v>
      </c>
      <c r="H257" s="10" t="s">
        <v>320</v>
      </c>
      <c r="I257" s="10" t="s">
        <v>113</v>
      </c>
      <c r="J257" s="10" t="s">
        <v>219</v>
      </c>
      <c r="M257" s="4">
        <v>6.9</v>
      </c>
      <c r="N257" s="4">
        <v>69</v>
      </c>
      <c r="O257" s="4">
        <v>3.1</v>
      </c>
      <c r="P257" s="20">
        <f>(M257+(N257/10)+(O257*2))/3</f>
        <v>6.666666666666667</v>
      </c>
      <c r="Q257" s="20">
        <f>(M257+C257+(N257/10)+(O257*2))/4</f>
        <v>6.3504999999999994</v>
      </c>
      <c r="R257" s="20">
        <f>(M257+C257+(N257/10))/3</f>
        <v>6.4006666666666661</v>
      </c>
      <c r="S257" s="27">
        <f>IF(C257 &gt; 9.25, 10, IF(C257 &gt; 6.75, ROUND(C257, 0), MAX(1, FLOOR(C257, 1))))</f>
        <v>5</v>
      </c>
      <c r="T257" s="20">
        <f>S257/2</f>
        <v>2.5</v>
      </c>
      <c r="U257" s="25">
        <v>46077</v>
      </c>
      <c r="V257">
        <v>2</v>
      </c>
      <c r="W257" s="25" t="s">
        <v>758</v>
      </c>
      <c r="X257">
        <v>106</v>
      </c>
      <c r="Y257" t="s">
        <v>911</v>
      </c>
      <c r="Z257" t="s">
        <v>907</v>
      </c>
      <c r="AA257" s="25"/>
    </row>
    <row r="258" spans="1:28" x14ac:dyDescent="0.25">
      <c r="A258" s="4">
        <v>257</v>
      </c>
      <c r="B258" s="4" t="s">
        <v>185</v>
      </c>
      <c r="C258" s="28">
        <v>5.4009999999999998</v>
      </c>
      <c r="D258" s="4">
        <v>2005</v>
      </c>
      <c r="E258" s="10" t="s">
        <v>104</v>
      </c>
      <c r="F258" s="10" t="s">
        <v>105</v>
      </c>
      <c r="G258" s="10" t="s">
        <v>1190</v>
      </c>
      <c r="H258" s="10" t="s">
        <v>188</v>
      </c>
      <c r="I258" s="10" t="s">
        <v>189</v>
      </c>
      <c r="J258" s="10" t="s">
        <v>219</v>
      </c>
      <c r="K258" s="10" t="s">
        <v>221</v>
      </c>
      <c r="M258" s="4">
        <v>7.1</v>
      </c>
      <c r="N258" s="4">
        <v>85</v>
      </c>
      <c r="O258" s="4">
        <v>3.3</v>
      </c>
      <c r="P258" s="20">
        <f>(M258+(N258/10)+(O258*2))/3</f>
        <v>7.3999999999999995</v>
      </c>
      <c r="Q258" s="20">
        <f>(M258+C258+(N258/10)+(O258*2))/4</f>
        <v>6.9002499999999998</v>
      </c>
      <c r="R258" s="20">
        <f>(M258+C258+(N258/10))/3</f>
        <v>7.0003333333333329</v>
      </c>
      <c r="S258" s="27">
        <f>IF(C258 &gt; 9.25, 10, IF(C258 &gt; 6.75, ROUND(C258, 0), MAX(1, FLOOR(C258, 1))))</f>
        <v>5</v>
      </c>
      <c r="T258" s="20">
        <f>S258/2</f>
        <v>2.5</v>
      </c>
      <c r="U258" s="25">
        <v>45106</v>
      </c>
      <c r="V258">
        <v>1</v>
      </c>
      <c r="W258" s="25" t="s">
        <v>758</v>
      </c>
      <c r="X258">
        <v>116</v>
      </c>
      <c r="Y258" t="s">
        <v>911</v>
      </c>
      <c r="Z258" t="s">
        <v>825</v>
      </c>
      <c r="AA258" s="25"/>
    </row>
    <row r="259" spans="1:28" x14ac:dyDescent="0.25">
      <c r="A259" s="4">
        <v>258</v>
      </c>
      <c r="B259" s="4" t="s">
        <v>975</v>
      </c>
      <c r="C259" s="28">
        <v>5.3029999999999999</v>
      </c>
      <c r="D259" s="4">
        <v>2015</v>
      </c>
      <c r="E259" s="10" t="s">
        <v>977</v>
      </c>
      <c r="F259" s="10" t="s">
        <v>976</v>
      </c>
      <c r="G259" s="10" t="s">
        <v>406</v>
      </c>
      <c r="H259" s="10" t="s">
        <v>978</v>
      </c>
      <c r="I259" s="10" t="s">
        <v>979</v>
      </c>
      <c r="J259" s="10" t="s">
        <v>585</v>
      </c>
      <c r="K259" s="10" t="s">
        <v>219</v>
      </c>
      <c r="L259" s="10" t="s">
        <v>209</v>
      </c>
      <c r="M259" s="4">
        <v>6.4</v>
      </c>
      <c r="N259" s="4">
        <v>91</v>
      </c>
      <c r="O259" s="4">
        <v>3.3</v>
      </c>
      <c r="P259" s="20">
        <f>(M259+(N259/10)+(O259*2))/3</f>
        <v>7.3666666666666671</v>
      </c>
      <c r="Q259" s="20">
        <f>(M259+C259+(N259/10)+(O259*2))/4</f>
        <v>6.8507499999999997</v>
      </c>
      <c r="R259" s="20">
        <f>(M259+C259+(N259/10))/3</f>
        <v>6.9343333333333321</v>
      </c>
      <c r="S259" s="27">
        <f>IF(C259 &gt; 9.25, 10, IF(C259 &gt; 6.75, ROUND(C259, 0), MAX(1, FLOOR(C259, 1))))</f>
        <v>5</v>
      </c>
      <c r="T259" s="20">
        <f>S259/2</f>
        <v>2.5</v>
      </c>
      <c r="U259" s="25">
        <v>46062</v>
      </c>
      <c r="V259">
        <v>1</v>
      </c>
      <c r="W259" s="25" t="s">
        <v>758</v>
      </c>
      <c r="X259">
        <v>108</v>
      </c>
      <c r="Y259" t="s">
        <v>911</v>
      </c>
      <c r="Z259" t="s">
        <v>917</v>
      </c>
      <c r="AA259" s="25"/>
    </row>
    <row r="260" spans="1:28" x14ac:dyDescent="0.25">
      <c r="A260" s="4">
        <v>259</v>
      </c>
      <c r="B260" s="4" t="s">
        <v>812</v>
      </c>
      <c r="C260" s="28">
        <v>5.3019999999999996</v>
      </c>
      <c r="D260" s="4">
        <v>2005</v>
      </c>
      <c r="E260" s="10" t="s">
        <v>15</v>
      </c>
      <c r="F260" s="10" t="s">
        <v>41</v>
      </c>
      <c r="G260" s="10" t="s">
        <v>795</v>
      </c>
      <c r="H260" s="10" t="s">
        <v>858</v>
      </c>
      <c r="I260" s="10" t="s">
        <v>1211</v>
      </c>
      <c r="J260" s="10" t="s">
        <v>210</v>
      </c>
      <c r="K260" s="10" t="s">
        <v>209</v>
      </c>
      <c r="L260" s="10" t="s">
        <v>215</v>
      </c>
      <c r="M260" s="4">
        <v>6.2</v>
      </c>
      <c r="N260" s="4">
        <v>22</v>
      </c>
      <c r="O260" s="4">
        <v>2.9</v>
      </c>
      <c r="P260" s="20">
        <f>(M260+(N260/10)+(O260*2))/3</f>
        <v>4.7333333333333334</v>
      </c>
      <c r="Q260" s="20">
        <f>(M260+C260+(N260/10)+(O260*2))/4</f>
        <v>4.8754999999999997</v>
      </c>
      <c r="R260" s="20">
        <f>(M260+C260+(N260/10))/3</f>
        <v>4.567333333333333</v>
      </c>
      <c r="S260" s="27">
        <f>IF(C260 &gt; 9.25, 10, IF(C260 &gt; 6.75, ROUND(C260, 0), MAX(1, FLOOR(C260, 1))))</f>
        <v>5</v>
      </c>
      <c r="T260" s="20">
        <f>S260/2</f>
        <v>2.5</v>
      </c>
      <c r="U260" s="25">
        <v>46009</v>
      </c>
      <c r="V260">
        <v>1</v>
      </c>
      <c r="W260" s="25" t="s">
        <v>758</v>
      </c>
      <c r="X260">
        <v>122</v>
      </c>
      <c r="Y260" t="s">
        <v>911</v>
      </c>
      <c r="Z260" t="s">
        <v>825</v>
      </c>
      <c r="AA260" s="25"/>
    </row>
    <row r="261" spans="1:28" x14ac:dyDescent="0.25">
      <c r="A261" s="4">
        <v>260</v>
      </c>
      <c r="B261" s="4" t="s">
        <v>708</v>
      </c>
      <c r="C261" s="28">
        <v>5.3010000000000002</v>
      </c>
      <c r="D261" s="4">
        <v>2023</v>
      </c>
      <c r="E261" s="10" t="s">
        <v>387</v>
      </c>
      <c r="F261" s="10" t="s">
        <v>852</v>
      </c>
      <c r="G261" s="10" t="s">
        <v>853</v>
      </c>
      <c r="H261" s="10" t="s">
        <v>854</v>
      </c>
      <c r="I261" s="10" t="s">
        <v>707</v>
      </c>
      <c r="J261" s="10" t="s">
        <v>221</v>
      </c>
      <c r="K261" s="10" t="s">
        <v>219</v>
      </c>
      <c r="M261" s="4">
        <v>6.1</v>
      </c>
      <c r="N261" s="4">
        <v>54</v>
      </c>
      <c r="O261" s="4">
        <v>2.8</v>
      </c>
      <c r="P261" s="20">
        <f>(M261+(N261/10)+(O261*2))/3</f>
        <v>5.7</v>
      </c>
      <c r="Q261" s="20">
        <f>(M261+C261+(N261/10)+(O261*2))/4</f>
        <v>5.6002500000000008</v>
      </c>
      <c r="R261" s="20">
        <f>(M261+C261+(N261/10))/3</f>
        <v>5.6003333333333343</v>
      </c>
      <c r="S261" s="27">
        <f>IF(C261 &gt; 9.25, 10, IF(C261 &gt; 6.75, ROUND(C261, 0), MAX(1, FLOOR(C261, 1))))</f>
        <v>5</v>
      </c>
      <c r="T261" s="20">
        <f>S261/2</f>
        <v>2.5</v>
      </c>
      <c r="U261" s="25">
        <v>45838</v>
      </c>
      <c r="V261">
        <v>1</v>
      </c>
      <c r="W261" s="25" t="s">
        <v>758</v>
      </c>
      <c r="X261">
        <v>103</v>
      </c>
      <c r="Y261" t="s">
        <v>911</v>
      </c>
      <c r="Z261" t="s">
        <v>825</v>
      </c>
      <c r="AA261" s="25"/>
    </row>
    <row r="262" spans="1:28" x14ac:dyDescent="0.25">
      <c r="A262" s="4">
        <v>261</v>
      </c>
      <c r="B262" s="4" t="s">
        <v>497</v>
      </c>
      <c r="C262" s="28">
        <v>5.2030000000000003</v>
      </c>
      <c r="D262" s="4">
        <v>1993</v>
      </c>
      <c r="E262" s="5" t="s">
        <v>9</v>
      </c>
      <c r="F262" s="10" t="s">
        <v>498</v>
      </c>
      <c r="G262" s="10" t="s">
        <v>499</v>
      </c>
      <c r="H262" s="10" t="s">
        <v>500</v>
      </c>
      <c r="I262" s="10" t="s">
        <v>501</v>
      </c>
      <c r="J262" s="10" t="s">
        <v>209</v>
      </c>
      <c r="K262" s="10" t="s">
        <v>216</v>
      </c>
      <c r="L262" t="s">
        <v>673</v>
      </c>
      <c r="M262" s="4">
        <v>6.9</v>
      </c>
      <c r="N262" s="4">
        <v>75</v>
      </c>
      <c r="O262" s="4">
        <v>3.5</v>
      </c>
      <c r="P262" s="20">
        <f>(M262+(N262/10)+(O262*2))/3</f>
        <v>7.1333333333333329</v>
      </c>
      <c r="Q262" s="20">
        <f>(M262+C262+(N262/10)+(O262*2))/4</f>
        <v>6.6507500000000004</v>
      </c>
      <c r="R262" s="20">
        <f>(M262+C262+(N262/10))/3</f>
        <v>6.5343333333333335</v>
      </c>
      <c r="S262" s="27">
        <f>IF(C262 &gt; 9.25, 10, IF(C262 &gt; 6.75, ROUND(C262, 0), MAX(1, FLOOR(C262, 1))))</f>
        <v>5</v>
      </c>
      <c r="T262" s="20">
        <f>S262/2</f>
        <v>2.5</v>
      </c>
      <c r="U262" s="25">
        <v>45281</v>
      </c>
      <c r="V262">
        <v>1</v>
      </c>
      <c r="W262" s="25" t="s">
        <v>758</v>
      </c>
      <c r="X262">
        <v>154</v>
      </c>
      <c r="Y262" t="s">
        <v>911</v>
      </c>
      <c r="Z262" t="s">
        <v>825</v>
      </c>
      <c r="AA262" s="25"/>
    </row>
    <row r="263" spans="1:28" x14ac:dyDescent="0.25">
      <c r="A263" s="4">
        <v>262</v>
      </c>
      <c r="B263" s="4" t="s">
        <v>1217</v>
      </c>
      <c r="C263" s="28">
        <v>5.202</v>
      </c>
      <c r="D263" s="4">
        <v>2021</v>
      </c>
      <c r="E263" s="10" t="s">
        <v>1218</v>
      </c>
      <c r="F263" s="10" t="s">
        <v>679</v>
      </c>
      <c r="G263" s="10" t="s">
        <v>765</v>
      </c>
      <c r="H263" s="10" t="s">
        <v>115</v>
      </c>
      <c r="I263" s="10" t="s">
        <v>1219</v>
      </c>
      <c r="J263" s="10" t="s">
        <v>208</v>
      </c>
      <c r="K263" s="10" t="s">
        <v>223</v>
      </c>
      <c r="L263" s="10" t="s">
        <v>951</v>
      </c>
      <c r="M263" s="4">
        <v>6.2</v>
      </c>
      <c r="N263" s="4">
        <v>48</v>
      </c>
      <c r="O263" s="4">
        <v>2.7</v>
      </c>
      <c r="P263" s="20">
        <f>(M263+(N263/10)+(O263*2))/3</f>
        <v>5.4666666666666659</v>
      </c>
      <c r="Q263" s="20">
        <f>(M263+C263+(N263/10)+(O263*2))/4</f>
        <v>5.400500000000001</v>
      </c>
      <c r="R263" s="20">
        <f>(M263+C263+(N263/10))/3</f>
        <v>5.4006666666666669</v>
      </c>
      <c r="S263" s="27">
        <f>IF(C263 &gt; 9.25, 10, IF(C263 &gt; 6.75, ROUND(C263, 0), MAX(1, FLOOR(C263, 1))))</f>
        <v>5</v>
      </c>
      <c r="T263" s="20">
        <f>S263/2</f>
        <v>2.5</v>
      </c>
      <c r="U263" s="25">
        <v>46202</v>
      </c>
      <c r="V263">
        <v>1</v>
      </c>
      <c r="W263" s="25" t="s">
        <v>758</v>
      </c>
      <c r="X263">
        <v>156</v>
      </c>
      <c r="Y263" t="s">
        <v>911</v>
      </c>
      <c r="Z263" t="s">
        <v>907</v>
      </c>
      <c r="AA263" t="s">
        <v>1126</v>
      </c>
      <c r="AB263">
        <v>29</v>
      </c>
    </row>
    <row r="264" spans="1:28" x14ac:dyDescent="0.25">
      <c r="A264" s="4">
        <v>263</v>
      </c>
      <c r="B264" s="4" t="s">
        <v>211</v>
      </c>
      <c r="C264" s="28">
        <v>5.2009999999999996</v>
      </c>
      <c r="D264" s="4">
        <v>2008</v>
      </c>
      <c r="E264" s="10" t="s">
        <v>30</v>
      </c>
      <c r="F264" s="10" t="s">
        <v>41</v>
      </c>
      <c r="G264" s="10" t="s">
        <v>212</v>
      </c>
      <c r="H264" s="10" t="s">
        <v>213</v>
      </c>
      <c r="I264" s="10" t="s">
        <v>214</v>
      </c>
      <c r="J264" s="10" t="s">
        <v>215</v>
      </c>
      <c r="K264" s="10" t="s">
        <v>216</v>
      </c>
      <c r="L264" s="10" t="s">
        <v>217</v>
      </c>
      <c r="M264" s="4">
        <v>6</v>
      </c>
      <c r="N264" s="4">
        <v>18</v>
      </c>
      <c r="O264" s="4">
        <v>2.5</v>
      </c>
      <c r="P264" s="20">
        <f>(M264+(N264/10)+(O264*2))/3</f>
        <v>4.2666666666666666</v>
      </c>
      <c r="Q264" s="20">
        <f>(M264+C264+(N264/10)+(O264*2))/4</f>
        <v>4.5002500000000003</v>
      </c>
      <c r="R264" s="20">
        <f>(M264+C264+(N264/10))/3</f>
        <v>4.3336666666666668</v>
      </c>
      <c r="S264" s="27">
        <f>IF(C264 &gt; 9.25, 10, IF(C264 &gt; 6.75, ROUND(C264, 0), MAX(1, FLOOR(C264, 1))))</f>
        <v>5</v>
      </c>
      <c r="T264" s="20">
        <f>S264/2</f>
        <v>2.5</v>
      </c>
      <c r="U264" s="25">
        <v>45076</v>
      </c>
      <c r="V264">
        <v>1</v>
      </c>
      <c r="W264" s="25" t="s">
        <v>758</v>
      </c>
      <c r="X264">
        <v>101</v>
      </c>
      <c r="Y264" t="s">
        <v>911</v>
      </c>
      <c r="Z264" t="s">
        <v>825</v>
      </c>
      <c r="AA264" s="25"/>
    </row>
    <row r="265" spans="1:28" x14ac:dyDescent="0.25">
      <c r="A265" s="4">
        <v>264</v>
      </c>
      <c r="B265" s="4" t="s">
        <v>814</v>
      </c>
      <c r="C265" s="28">
        <v>5.1029999999999998</v>
      </c>
      <c r="D265" s="4">
        <v>2012</v>
      </c>
      <c r="E265" s="10" t="s">
        <v>847</v>
      </c>
      <c r="F265" s="10" t="s">
        <v>848</v>
      </c>
      <c r="G265" s="10" t="s">
        <v>849</v>
      </c>
      <c r="H265" s="10" t="s">
        <v>850</v>
      </c>
      <c r="I265" s="10" t="s">
        <v>813</v>
      </c>
      <c r="J265" s="10" t="s">
        <v>210</v>
      </c>
      <c r="K265" s="10" t="s">
        <v>219</v>
      </c>
      <c r="L265" s="10" t="s">
        <v>851</v>
      </c>
      <c r="M265" s="4">
        <v>5.0999999999999996</v>
      </c>
      <c r="N265" s="4">
        <v>27</v>
      </c>
      <c r="O265" s="4">
        <v>2.2999999999999998</v>
      </c>
      <c r="P265" s="20">
        <f>(M265+(N265/10)+(O265*2))/3</f>
        <v>4.1333333333333329</v>
      </c>
      <c r="Q265" s="20">
        <f>(M265+C265+(N265/10)+(O265*2))/4</f>
        <v>4.37575</v>
      </c>
      <c r="R265" s="20">
        <f>(M265+C265+(N265/10))/3</f>
        <v>4.3009999999999993</v>
      </c>
      <c r="S265" s="27">
        <f>IF(C265 &gt; 9.25, 10, IF(C265 &gt; 6.75, ROUND(C265, 0), MAX(1, FLOOR(C265, 1))))</f>
        <v>5</v>
      </c>
      <c r="T265" s="20">
        <f>S265/2</f>
        <v>2.5</v>
      </c>
      <c r="U265" s="25">
        <v>45831</v>
      </c>
      <c r="V265">
        <v>3</v>
      </c>
      <c r="W265" s="25" t="s">
        <v>758</v>
      </c>
      <c r="X265">
        <v>94</v>
      </c>
      <c r="Y265" t="s">
        <v>911</v>
      </c>
      <c r="Z265" t="s">
        <v>907</v>
      </c>
      <c r="AA265" s="25"/>
    </row>
    <row r="266" spans="1:28" x14ac:dyDescent="0.25">
      <c r="A266" s="4">
        <v>265</v>
      </c>
      <c r="B266" s="4" t="s">
        <v>515</v>
      </c>
      <c r="C266" s="28">
        <v>5.1020000000000003</v>
      </c>
      <c r="D266" s="4">
        <v>2011</v>
      </c>
      <c r="E266" s="5" t="s">
        <v>520</v>
      </c>
      <c r="F266" s="10" t="s">
        <v>521</v>
      </c>
      <c r="G266" s="10" t="s">
        <v>522</v>
      </c>
      <c r="H266" s="10" t="s">
        <v>523</v>
      </c>
      <c r="I266" s="10" t="s">
        <v>524</v>
      </c>
      <c r="J266" s="10" t="s">
        <v>210</v>
      </c>
      <c r="K266" s="10" t="s">
        <v>219</v>
      </c>
      <c r="L266" t="s">
        <v>209</v>
      </c>
      <c r="M266" s="4">
        <v>6.8</v>
      </c>
      <c r="N266" s="4">
        <v>81</v>
      </c>
      <c r="O266" s="4">
        <v>3.3</v>
      </c>
      <c r="P266" s="20">
        <f>(M266+(N266/10)+(O266*2))/3</f>
        <v>7.166666666666667</v>
      </c>
      <c r="Q266" s="20">
        <f>(M266+C266+(N266/10)+(O266*2))/4</f>
        <v>6.650500000000001</v>
      </c>
      <c r="R266" s="20">
        <f>(M266+C266+(N266/10))/3</f>
        <v>6.6673333333333344</v>
      </c>
      <c r="S266" s="27">
        <f>IF(C266 &gt; 9.25, 10, IF(C266 &gt; 6.75, ROUND(C266, 0), MAX(1, FLOOR(C266, 1))))</f>
        <v>5</v>
      </c>
      <c r="T266" s="20">
        <f>S266/2</f>
        <v>2.5</v>
      </c>
      <c r="U266" s="25">
        <v>45321</v>
      </c>
      <c r="V266">
        <v>1</v>
      </c>
      <c r="W266" s="25" t="s">
        <v>758</v>
      </c>
      <c r="X266">
        <v>92</v>
      </c>
      <c r="Y266" t="s">
        <v>911</v>
      </c>
      <c r="Z266" t="s">
        <v>825</v>
      </c>
      <c r="AA266" s="25"/>
    </row>
    <row r="267" spans="1:28" x14ac:dyDescent="0.25">
      <c r="A267" s="4">
        <v>266</v>
      </c>
      <c r="B267" s="4" t="s">
        <v>93</v>
      </c>
      <c r="C267" s="28">
        <v>5.101</v>
      </c>
      <c r="D267" s="4">
        <v>2012</v>
      </c>
      <c r="E267" s="5" t="s">
        <v>94</v>
      </c>
      <c r="F267" s="10" t="s">
        <v>95</v>
      </c>
      <c r="G267" s="10" t="s">
        <v>306</v>
      </c>
      <c r="H267" s="10" t="s">
        <v>307</v>
      </c>
      <c r="I267" s="10" t="s">
        <v>96</v>
      </c>
      <c r="J267" s="10" t="s">
        <v>219</v>
      </c>
      <c r="M267" s="4">
        <v>6.6</v>
      </c>
      <c r="N267" s="4">
        <v>28</v>
      </c>
      <c r="O267" s="4">
        <v>3.3</v>
      </c>
      <c r="P267" s="20">
        <f>(M267+(N267/10)+(O267*2))/3</f>
        <v>5.333333333333333</v>
      </c>
      <c r="Q267" s="20">
        <f>(M267+C267+(N267/10)+(O267*2))/4</f>
        <v>5.2752499999999998</v>
      </c>
      <c r="R267" s="20">
        <f>(M267+C267+(N267/10))/3</f>
        <v>4.8336666666666668</v>
      </c>
      <c r="S267" s="27">
        <f>IF(C267 &gt; 9.25, 10, IF(C267 &gt; 6.75, ROUND(C267, 0), MAX(1, FLOOR(C267, 1))))</f>
        <v>5</v>
      </c>
      <c r="T267" s="20">
        <f>S267/2</f>
        <v>2.5</v>
      </c>
      <c r="U267" s="25">
        <v>44482</v>
      </c>
      <c r="V267">
        <v>1</v>
      </c>
      <c r="W267" s="25" t="s">
        <v>758</v>
      </c>
      <c r="X267">
        <v>88</v>
      </c>
      <c r="Y267" t="s">
        <v>911</v>
      </c>
      <c r="Z267" t="s">
        <v>825</v>
      </c>
      <c r="AA267" s="25"/>
    </row>
    <row r="268" spans="1:28" x14ac:dyDescent="0.25">
      <c r="A268" s="4">
        <v>267</v>
      </c>
      <c r="B268" s="4" t="s">
        <v>369</v>
      </c>
      <c r="C268" s="28">
        <v>5.0030000000000001</v>
      </c>
      <c r="D268" s="4">
        <v>2017</v>
      </c>
      <c r="E268" s="5" t="s">
        <v>1200</v>
      </c>
      <c r="F268" s="10" t="s">
        <v>370</v>
      </c>
      <c r="G268" s="10" t="s">
        <v>371</v>
      </c>
      <c r="H268" s="10" t="s">
        <v>372</v>
      </c>
      <c r="I268" s="10" t="s">
        <v>365</v>
      </c>
      <c r="J268" s="10" t="s">
        <v>208</v>
      </c>
      <c r="K268" s="10" t="s">
        <v>215</v>
      </c>
      <c r="L268" s="10" t="s">
        <v>217</v>
      </c>
      <c r="M268" s="4">
        <v>7.4</v>
      </c>
      <c r="N268" s="4">
        <v>89</v>
      </c>
      <c r="O268" s="4">
        <v>3.7</v>
      </c>
      <c r="P268" s="20">
        <f>(M268+(N268/10)+(O268*2))/3</f>
        <v>7.9000000000000012</v>
      </c>
      <c r="Q268" s="20">
        <f>(M268+C268+(N268/10)+(O268*2))/4</f>
        <v>7.1757500000000007</v>
      </c>
      <c r="R268" s="20">
        <f>(M268+C268+(N268/10))/3</f>
        <v>7.101</v>
      </c>
      <c r="S268" s="27">
        <f>IF(C268 &gt; 9.25, 10, IF(C268 &gt; 6.75, ROUND(C268, 0), MAX(1, FLOOR(C268, 1))))</f>
        <v>5</v>
      </c>
      <c r="T268" s="20">
        <f>S268/2</f>
        <v>2.5</v>
      </c>
      <c r="U268" s="25">
        <v>45106</v>
      </c>
      <c r="V268">
        <v>1</v>
      </c>
      <c r="W268" s="25" t="s">
        <v>758</v>
      </c>
      <c r="X268">
        <v>122</v>
      </c>
      <c r="Y268" t="s">
        <v>911</v>
      </c>
      <c r="Z268" t="s">
        <v>825</v>
      </c>
      <c r="AA268" s="25" t="s">
        <v>361</v>
      </c>
      <c r="AB268">
        <v>2</v>
      </c>
    </row>
    <row r="269" spans="1:28" x14ac:dyDescent="0.25">
      <c r="A269" s="4">
        <v>268</v>
      </c>
      <c r="B269" s="4" t="s">
        <v>196</v>
      </c>
      <c r="C269" s="28">
        <v>5.0019999999999998</v>
      </c>
      <c r="D269" s="4">
        <v>2012</v>
      </c>
      <c r="E269" s="5" t="s">
        <v>314</v>
      </c>
      <c r="F269" s="10" t="s">
        <v>315</v>
      </c>
      <c r="G269" s="10" t="s">
        <v>316</v>
      </c>
      <c r="H269" s="10" t="s">
        <v>317</v>
      </c>
      <c r="I269" s="10" t="s">
        <v>197</v>
      </c>
      <c r="J269" s="10" t="s">
        <v>210</v>
      </c>
      <c r="K269" t="s">
        <v>209</v>
      </c>
      <c r="M269" s="4">
        <v>5.9</v>
      </c>
      <c r="N269" s="4">
        <v>41</v>
      </c>
      <c r="O269" s="4">
        <v>3</v>
      </c>
      <c r="P269" s="20">
        <f>(M269+(N269/10)+(O269*2))/3</f>
        <v>5.333333333333333</v>
      </c>
      <c r="Q269" s="20">
        <f>(M269+C269+(N269/10)+(O269*2))/4</f>
        <v>5.2505000000000006</v>
      </c>
      <c r="R269" s="20">
        <f>(M269+C269+(N269/10))/3</f>
        <v>5.0006666666666666</v>
      </c>
      <c r="S269" s="27">
        <f>IF(C269 &gt; 9.25, 10, IF(C269 &gt; 6.75, ROUND(C269, 0), MAX(1, FLOOR(C269, 1))))</f>
        <v>5</v>
      </c>
      <c r="T269" s="20">
        <f>S269/2</f>
        <v>2.5</v>
      </c>
      <c r="U269" s="25">
        <v>45106</v>
      </c>
      <c r="V269">
        <v>1</v>
      </c>
      <c r="W269" s="25" t="s">
        <v>758</v>
      </c>
      <c r="X269">
        <v>105</v>
      </c>
      <c r="Y269" t="s">
        <v>911</v>
      </c>
      <c r="Z269" t="s">
        <v>921</v>
      </c>
      <c r="AA269" s="25"/>
    </row>
    <row r="270" spans="1:28" x14ac:dyDescent="0.25">
      <c r="A270" s="4">
        <v>269</v>
      </c>
      <c r="B270" s="4" t="s">
        <v>193</v>
      </c>
      <c r="C270" s="28">
        <v>5.0010000000000003</v>
      </c>
      <c r="D270" s="4">
        <v>2009</v>
      </c>
      <c r="E270" s="10" t="s">
        <v>283</v>
      </c>
      <c r="F270" s="10" t="s">
        <v>284</v>
      </c>
      <c r="G270" s="10" t="s">
        <v>285</v>
      </c>
      <c r="H270" s="10" t="s">
        <v>286</v>
      </c>
      <c r="I270" s="10" t="s">
        <v>194</v>
      </c>
      <c r="J270" t="s">
        <v>210</v>
      </c>
      <c r="K270" t="s">
        <v>209</v>
      </c>
      <c r="L270" s="10" t="s">
        <v>220</v>
      </c>
      <c r="M270" s="4">
        <v>7.6</v>
      </c>
      <c r="N270" s="4">
        <v>66</v>
      </c>
      <c r="O270" s="4">
        <v>3.4</v>
      </c>
      <c r="P270" s="20">
        <f>(M270+(N270/10)+(O270*2))/3</f>
        <v>7</v>
      </c>
      <c r="Q270" s="20">
        <f>(M270+C270+(N270/10)+(O270*2))/4</f>
        <v>6.5002500000000003</v>
      </c>
      <c r="R270" s="20">
        <f>(M270+C270+(N270/10))/3</f>
        <v>6.4003333333333332</v>
      </c>
      <c r="S270" s="27">
        <f>IF(C270 &gt; 9.25, 10, IF(C270 &gt; 6.75, ROUND(C270, 0), MAX(1, FLOOR(C270, 1))))</f>
        <v>5</v>
      </c>
      <c r="T270" s="20">
        <f>S270/2</f>
        <v>2.5</v>
      </c>
      <c r="U270" s="25">
        <v>45106</v>
      </c>
      <c r="V270">
        <v>1</v>
      </c>
      <c r="W270" s="25" t="s">
        <v>758</v>
      </c>
      <c r="X270">
        <v>129</v>
      </c>
      <c r="Y270" t="s">
        <v>911</v>
      </c>
      <c r="Z270" t="s">
        <v>825</v>
      </c>
      <c r="AA270" s="25"/>
    </row>
    <row r="271" spans="1:28" x14ac:dyDescent="0.25">
      <c r="A271" s="4">
        <v>270</v>
      </c>
      <c r="B271" s="4" t="s">
        <v>842</v>
      </c>
      <c r="C271" s="28">
        <v>4.9020000000000001</v>
      </c>
      <c r="D271" s="4">
        <v>2024</v>
      </c>
      <c r="E271" s="5" t="s">
        <v>843</v>
      </c>
      <c r="F271" s="10" t="s">
        <v>122</v>
      </c>
      <c r="G271" s="10" t="s">
        <v>844</v>
      </c>
      <c r="H271" s="10" t="s">
        <v>1180</v>
      </c>
      <c r="I271" s="10" t="s">
        <v>505</v>
      </c>
      <c r="J271" s="10" t="s">
        <v>209</v>
      </c>
      <c r="K271" s="10" t="s">
        <v>222</v>
      </c>
      <c r="L271" t="s">
        <v>208</v>
      </c>
      <c r="M271" s="4">
        <v>6.5</v>
      </c>
      <c r="N271" s="4">
        <v>70</v>
      </c>
      <c r="O271" s="4">
        <v>3.2</v>
      </c>
      <c r="P271" s="20">
        <f>(M271+(N271/10)+(O271*2))/3</f>
        <v>6.6333333333333329</v>
      </c>
      <c r="Q271" s="20">
        <f>(M271+C271+(N271/10)+(O271*2))/4</f>
        <v>6.2004999999999999</v>
      </c>
      <c r="R271" s="20">
        <f>(M271+C271+(N271/10))/3</f>
        <v>6.1340000000000003</v>
      </c>
      <c r="S271" s="27">
        <f>IF(C271 &gt; 9.25, 10, IF(C271 &gt; 6.75, ROUND(C271, 0), MAX(1, FLOOR(C271, 1))))</f>
        <v>4</v>
      </c>
      <c r="T271" s="20">
        <f>S271/2</f>
        <v>2</v>
      </c>
      <c r="U271" s="25">
        <v>45827</v>
      </c>
      <c r="V271">
        <v>1</v>
      </c>
      <c r="W271" s="25" t="s">
        <v>758</v>
      </c>
      <c r="X271">
        <v>148</v>
      </c>
      <c r="Y271" t="s">
        <v>911</v>
      </c>
      <c r="Z271" t="s">
        <v>825</v>
      </c>
      <c r="AA271" s="25"/>
    </row>
    <row r="272" spans="1:28" x14ac:dyDescent="0.25">
      <c r="A272" s="4">
        <v>271</v>
      </c>
      <c r="B272" s="4" t="s">
        <v>125</v>
      </c>
      <c r="C272" s="28">
        <v>4.9009999999999998</v>
      </c>
      <c r="D272" s="4">
        <v>2010</v>
      </c>
      <c r="E272" s="10" t="s">
        <v>24</v>
      </c>
      <c r="F272" s="10" t="s">
        <v>126</v>
      </c>
      <c r="G272" s="10" t="s">
        <v>127</v>
      </c>
      <c r="H272" s="10" t="s">
        <v>329</v>
      </c>
      <c r="I272" s="10" t="s">
        <v>1212</v>
      </c>
      <c r="J272" s="10" t="s">
        <v>210</v>
      </c>
      <c r="K272" s="10" t="s">
        <v>208</v>
      </c>
      <c r="L272" s="10" t="s">
        <v>209</v>
      </c>
      <c r="M272" s="4">
        <v>7.8</v>
      </c>
      <c r="N272" s="4">
        <v>90</v>
      </c>
      <c r="O272" s="4">
        <v>3.8</v>
      </c>
      <c r="P272" s="20">
        <f>(M272+(N272/10)+(O272*2))/3</f>
        <v>8.1333333333333329</v>
      </c>
      <c r="Q272" s="20">
        <f>(M272+C272+(N272/10)+(O272*2))/4</f>
        <v>7.3252500000000005</v>
      </c>
      <c r="R272" s="20">
        <f>(M272+C272+(N272/10))/3</f>
        <v>7.2336666666666671</v>
      </c>
      <c r="S272" s="27">
        <f>IF(C272 &gt; 9.25, 10, IF(C272 &gt; 6.75, ROUND(C272, 0), MAX(1, FLOOR(C272, 1))))</f>
        <v>4</v>
      </c>
      <c r="T272" s="20">
        <f>S272/2</f>
        <v>2</v>
      </c>
      <c r="U272" s="25">
        <v>44743</v>
      </c>
      <c r="V272">
        <v>1</v>
      </c>
      <c r="W272" s="25" t="s">
        <v>758</v>
      </c>
      <c r="X272">
        <v>116</v>
      </c>
      <c r="Y272" t="s">
        <v>911</v>
      </c>
      <c r="Z272" t="s">
        <v>825</v>
      </c>
      <c r="AA272" s="25"/>
    </row>
    <row r="273" spans="1:28" x14ac:dyDescent="0.25">
      <c r="A273" s="4">
        <v>272</v>
      </c>
      <c r="B273" s="4" t="s">
        <v>1235</v>
      </c>
      <c r="C273" s="28">
        <v>4.8029999999999999</v>
      </c>
      <c r="D273" s="4">
        <v>2023</v>
      </c>
      <c r="E273" s="10" t="s">
        <v>256</v>
      </c>
      <c r="F273" s="10" t="s">
        <v>1237</v>
      </c>
      <c r="G273" s="10" t="s">
        <v>1300</v>
      </c>
      <c r="H273" s="10" t="s">
        <v>1236</v>
      </c>
      <c r="I273" s="10" t="s">
        <v>1238</v>
      </c>
      <c r="J273" s="10" t="s">
        <v>208</v>
      </c>
      <c r="K273" s="10" t="s">
        <v>223</v>
      </c>
      <c r="L273" s="10" t="s">
        <v>951</v>
      </c>
      <c r="M273" s="4">
        <v>5.4</v>
      </c>
      <c r="N273" s="4">
        <v>63</v>
      </c>
      <c r="O273" s="4">
        <v>2.4</v>
      </c>
      <c r="P273" s="20">
        <f>(M273+(N273/10)+(O273*2))/3</f>
        <v>5.5</v>
      </c>
      <c r="Q273" s="20">
        <f>(M273+C273+(N273/10)+(O273*2))/4</f>
        <v>5.3257500000000002</v>
      </c>
      <c r="R273" s="20">
        <f>(M273+C273+(N273/10))/3</f>
        <v>5.5010000000000003</v>
      </c>
      <c r="S273" s="27">
        <f>IF(C273 &gt; 9.25, 10, IF(C273 &gt; 6.75, ROUND(C273, 0), MAX(1, FLOOR(C273, 1))))</f>
        <v>4</v>
      </c>
      <c r="T273" s="20">
        <f>S273/2</f>
        <v>2</v>
      </c>
      <c r="U273" s="25">
        <v>46212</v>
      </c>
      <c r="V273">
        <v>1</v>
      </c>
      <c r="W273" s="25" t="s">
        <v>758</v>
      </c>
      <c r="X273">
        <v>105</v>
      </c>
      <c r="Y273" t="s">
        <v>911</v>
      </c>
      <c r="Z273" t="s">
        <v>907</v>
      </c>
      <c r="AA273" t="s">
        <v>1126</v>
      </c>
      <c r="AB273">
        <v>43</v>
      </c>
    </row>
    <row r="274" spans="1:28" x14ac:dyDescent="0.25">
      <c r="A274" s="4">
        <v>273</v>
      </c>
      <c r="B274" s="4" t="s">
        <v>713</v>
      </c>
      <c r="C274" s="28">
        <v>4.8019999999999996</v>
      </c>
      <c r="D274" s="4">
        <v>1957</v>
      </c>
      <c r="E274" s="5" t="s">
        <v>794</v>
      </c>
      <c r="F274" s="10" t="s">
        <v>808</v>
      </c>
      <c r="G274" s="10" t="s">
        <v>807</v>
      </c>
      <c r="H274" s="10" t="s">
        <v>778</v>
      </c>
      <c r="I274" s="10" t="s">
        <v>712</v>
      </c>
      <c r="J274" s="10" t="s">
        <v>226</v>
      </c>
      <c r="K274" t="s">
        <v>209</v>
      </c>
      <c r="L274" t="s">
        <v>670</v>
      </c>
      <c r="M274" s="4">
        <v>8.4</v>
      </c>
      <c r="N274" s="4">
        <v>96</v>
      </c>
      <c r="O274" s="4">
        <v>4.4000000000000004</v>
      </c>
      <c r="P274" s="20">
        <f>(M274+(N274/10)+(O274*2))/3</f>
        <v>8.9333333333333336</v>
      </c>
      <c r="Q274" s="20">
        <f>(M274+C274+(N274/10)+(O274*2))/4</f>
        <v>7.9005000000000001</v>
      </c>
      <c r="R274" s="20">
        <f>(M274+C274+(N274/10))/3</f>
        <v>7.6006666666666662</v>
      </c>
      <c r="S274" s="27">
        <f>IF(C274 &gt; 9.25, 10, IF(C274 &gt; 6.75, ROUND(C274, 0), MAX(1, FLOOR(C274, 1))))</f>
        <v>4</v>
      </c>
      <c r="T274" s="20">
        <f>S274/2</f>
        <v>2</v>
      </c>
      <c r="U274" s="25">
        <v>46039</v>
      </c>
      <c r="V274">
        <v>1</v>
      </c>
      <c r="W274" s="25" t="s">
        <v>758</v>
      </c>
      <c r="X274">
        <v>88</v>
      </c>
      <c r="Y274" t="s">
        <v>911</v>
      </c>
      <c r="Z274" t="s">
        <v>907</v>
      </c>
      <c r="AA274" s="25"/>
    </row>
    <row r="275" spans="1:28" x14ac:dyDescent="0.25">
      <c r="A275" s="4">
        <v>274</v>
      </c>
      <c r="B275" s="4" t="s">
        <v>595</v>
      </c>
      <c r="C275" s="28">
        <v>4.8010000000000002</v>
      </c>
      <c r="D275" s="4">
        <v>1985</v>
      </c>
      <c r="E275" s="10" t="s">
        <v>1201</v>
      </c>
      <c r="F275" s="10" t="s">
        <v>596</v>
      </c>
      <c r="G275" s="10" t="s">
        <v>597</v>
      </c>
      <c r="H275" s="10" t="s">
        <v>598</v>
      </c>
      <c r="I275" s="10" t="s">
        <v>599</v>
      </c>
      <c r="J275" s="10" t="s">
        <v>209</v>
      </c>
      <c r="K275" s="10" t="s">
        <v>219</v>
      </c>
      <c r="M275" s="4">
        <v>7.8</v>
      </c>
      <c r="N275" s="4">
        <v>89</v>
      </c>
      <c r="O275" s="4">
        <v>3.8</v>
      </c>
      <c r="P275" s="20">
        <f>(M275+(N275/10)+(O275*2))/3</f>
        <v>8.1</v>
      </c>
      <c r="Q275" s="20">
        <f>(M275+C275+(N275/10)+(O275*2))/4</f>
        <v>7.2752499999999998</v>
      </c>
      <c r="R275" s="20">
        <f>(M275+C275+(N275/10))/3</f>
        <v>7.1669999999999989</v>
      </c>
      <c r="S275" s="27">
        <f>IF(C275 &gt; 9.25, 10, IF(C275 &gt; 6.75, ROUND(C275, 0), MAX(1, FLOOR(C275, 1))))</f>
        <v>4</v>
      </c>
      <c r="T275" s="20">
        <f>S275/2</f>
        <v>2</v>
      </c>
      <c r="U275" s="25">
        <v>45475</v>
      </c>
      <c r="V275">
        <v>1</v>
      </c>
      <c r="W275" s="25" t="s">
        <v>758</v>
      </c>
      <c r="X275">
        <v>97</v>
      </c>
      <c r="Y275" t="s">
        <v>911</v>
      </c>
      <c r="Z275" t="s">
        <v>907</v>
      </c>
      <c r="AA275" s="25"/>
    </row>
    <row r="276" spans="1:28" x14ac:dyDescent="0.25">
      <c r="A276" s="4">
        <v>275</v>
      </c>
      <c r="B276" s="4" t="s">
        <v>729</v>
      </c>
      <c r="C276" s="28">
        <v>4.702</v>
      </c>
      <c r="D276" s="4">
        <v>1987</v>
      </c>
      <c r="E276" s="10" t="s">
        <v>806</v>
      </c>
      <c r="F276" s="10" t="s">
        <v>805</v>
      </c>
      <c r="G276" s="10" t="s">
        <v>1202</v>
      </c>
      <c r="H276" s="10" t="s">
        <v>804</v>
      </c>
      <c r="I276" s="10" t="s">
        <v>712</v>
      </c>
      <c r="J276" s="10" t="s">
        <v>226</v>
      </c>
      <c r="K276" s="10" t="s">
        <v>209</v>
      </c>
      <c r="M276" s="4">
        <v>8.1999999999999993</v>
      </c>
      <c r="N276" s="4">
        <v>90</v>
      </c>
      <c r="O276" s="4">
        <v>4.2</v>
      </c>
      <c r="P276" s="20">
        <f>(M276+(N276/10)+(O276*2))/3</f>
        <v>8.5333333333333332</v>
      </c>
      <c r="Q276" s="20">
        <f>(M276+C276+(N276/10)+(O276*2))/4</f>
        <v>7.5754999999999999</v>
      </c>
      <c r="R276" s="20">
        <f>(M276+C276+(N276/10))/3</f>
        <v>7.3006666666666673</v>
      </c>
      <c r="S276" s="27">
        <f>IF(C276 &gt; 9.25, 10, IF(C276 &gt; 6.75, ROUND(C276, 0), MAX(1, FLOOR(C276, 1))))</f>
        <v>4</v>
      </c>
      <c r="T276" s="20">
        <f>S276/2</f>
        <v>2</v>
      </c>
      <c r="U276" s="25">
        <v>46024</v>
      </c>
      <c r="V276">
        <v>1</v>
      </c>
      <c r="W276" s="25" t="s">
        <v>758</v>
      </c>
      <c r="X276">
        <v>116</v>
      </c>
      <c r="Y276" t="s">
        <v>911</v>
      </c>
      <c r="Z276" t="s">
        <v>907</v>
      </c>
      <c r="AA276" s="25"/>
    </row>
    <row r="277" spans="1:28" x14ac:dyDescent="0.25">
      <c r="A277" s="4">
        <v>276</v>
      </c>
      <c r="B277" s="4" t="s">
        <v>861</v>
      </c>
      <c r="C277" s="28">
        <v>4.7009999999999996</v>
      </c>
      <c r="D277" s="4">
        <v>2025</v>
      </c>
      <c r="E277" s="5" t="s">
        <v>46</v>
      </c>
      <c r="F277" s="10" t="s">
        <v>863</v>
      </c>
      <c r="G277" s="10" t="s">
        <v>864</v>
      </c>
      <c r="H277" s="10" t="s">
        <v>279</v>
      </c>
      <c r="I277" s="10" t="s">
        <v>823</v>
      </c>
      <c r="J277" s="10" t="s">
        <v>219</v>
      </c>
      <c r="K277" t="s">
        <v>210</v>
      </c>
      <c r="L277" s="10" t="s">
        <v>862</v>
      </c>
      <c r="M277" s="4">
        <v>6.4</v>
      </c>
      <c r="N277" s="4">
        <v>65</v>
      </c>
      <c r="O277" s="4">
        <v>2.7</v>
      </c>
      <c r="P277" s="20">
        <f>(M277+(N277/10)+(O277*2))/3</f>
        <v>6.1000000000000005</v>
      </c>
      <c r="Q277" s="20">
        <f>(M277+C277+(N277/10)+(O277*2))/4</f>
        <v>5.7502499999999994</v>
      </c>
      <c r="R277" s="20">
        <f>(M277+C277+(N277/10))/3</f>
        <v>5.867</v>
      </c>
      <c r="S277" s="27">
        <f>IF(C277 &gt; 9.25, 10, IF(C277 &gt; 6.75, ROUND(C277, 0), MAX(1, FLOOR(C277, 1))))</f>
        <v>4</v>
      </c>
      <c r="T277" s="20">
        <f>S277/2</f>
        <v>2</v>
      </c>
      <c r="U277" s="25">
        <v>45865</v>
      </c>
      <c r="V277">
        <v>1</v>
      </c>
      <c r="W277" s="25" t="s">
        <v>758</v>
      </c>
      <c r="X277">
        <v>114</v>
      </c>
      <c r="Y277" t="s">
        <v>923</v>
      </c>
      <c r="Z277" t="s">
        <v>914</v>
      </c>
      <c r="AA277" s="25"/>
    </row>
    <row r="278" spans="1:28" x14ac:dyDescent="0.25">
      <c r="A278" s="4">
        <v>277</v>
      </c>
      <c r="B278" s="4" t="s">
        <v>443</v>
      </c>
      <c r="C278" s="28">
        <v>4.7</v>
      </c>
      <c r="D278" s="4">
        <v>1987</v>
      </c>
      <c r="E278" s="5" t="s">
        <v>67</v>
      </c>
      <c r="F278" s="10" t="s">
        <v>444</v>
      </c>
      <c r="G278" s="10" t="s">
        <v>30</v>
      </c>
      <c r="H278" s="10" t="s">
        <v>445</v>
      </c>
      <c r="I278" s="10" t="s">
        <v>44</v>
      </c>
      <c r="J278" s="10" t="s">
        <v>215</v>
      </c>
      <c r="K278" s="10" t="s">
        <v>217</v>
      </c>
      <c r="L278" s="10" t="s">
        <v>672</v>
      </c>
      <c r="M278" s="4">
        <v>7.8</v>
      </c>
      <c r="N278" s="4">
        <v>82</v>
      </c>
      <c r="O278" s="4">
        <v>3.8</v>
      </c>
      <c r="P278" s="20">
        <f>(M278+(N278/10)+(O278*2))/3</f>
        <v>7.8666666666666671</v>
      </c>
      <c r="Q278" s="20">
        <f>(M278+C278+(N278/10)+(O278*2))/4</f>
        <v>7.0749999999999993</v>
      </c>
      <c r="R278" s="20">
        <f>(M278+C278+(N278/10))/3</f>
        <v>6.8999999999999995</v>
      </c>
      <c r="S278" s="27">
        <f>IF(C278 &gt; 9.25, 10, IF(C278 &gt; 6.75, ROUND(C278, 0), MAX(1, FLOOR(C278, 1))))</f>
        <v>4</v>
      </c>
      <c r="T278" s="20">
        <f>S278/2</f>
        <v>2</v>
      </c>
      <c r="U278" s="25">
        <v>45115</v>
      </c>
      <c r="V278">
        <v>1</v>
      </c>
      <c r="W278" s="25" t="s">
        <v>758</v>
      </c>
      <c r="X278">
        <v>119</v>
      </c>
      <c r="Y278" t="s">
        <v>982</v>
      </c>
      <c r="Z278" t="s">
        <v>825</v>
      </c>
      <c r="AA278" s="25"/>
    </row>
    <row r="279" spans="1:28" x14ac:dyDescent="0.25">
      <c r="A279" s="4">
        <v>278</v>
      </c>
      <c r="B279" s="4" t="s">
        <v>995</v>
      </c>
      <c r="C279" s="28">
        <v>4.6020000000000003</v>
      </c>
      <c r="D279" s="4">
        <v>2019</v>
      </c>
      <c r="E279" s="10" t="s">
        <v>256</v>
      </c>
      <c r="F279" s="10" t="s">
        <v>59</v>
      </c>
      <c r="G279" s="10" t="s">
        <v>977</v>
      </c>
      <c r="H279" s="10" t="s">
        <v>772</v>
      </c>
      <c r="I279" s="10" t="s">
        <v>979</v>
      </c>
      <c r="J279" s="10" t="s">
        <v>208</v>
      </c>
      <c r="K279" s="10" t="s">
        <v>223</v>
      </c>
      <c r="L279" s="10" t="s">
        <v>951</v>
      </c>
      <c r="M279" s="4">
        <v>6.7</v>
      </c>
      <c r="N279" s="4">
        <v>79</v>
      </c>
      <c r="O279" s="4">
        <v>2.6</v>
      </c>
      <c r="P279" s="20">
        <f>(M279+(N279/10)+(O279*2))/3</f>
        <v>6.6000000000000005</v>
      </c>
      <c r="Q279" s="20">
        <f>(M279+C279+(N279/10)+(O279*2))/4</f>
        <v>6.1004999999999994</v>
      </c>
      <c r="R279" s="20">
        <f>(M279+C279+(N279/10))/3</f>
        <v>6.4006666666666661</v>
      </c>
      <c r="S279" s="27">
        <f>IF(C279 &gt; 9.25, 10, IF(C279 &gt; 6.75, ROUND(C279, 0), MAX(1, FLOOR(C279, 1))))</f>
        <v>4</v>
      </c>
      <c r="T279" s="20">
        <f>S279/2</f>
        <v>2</v>
      </c>
      <c r="U279" s="25">
        <v>46069</v>
      </c>
      <c r="V279">
        <v>1</v>
      </c>
      <c r="W279" s="25" t="s">
        <v>758</v>
      </c>
      <c r="X279">
        <v>124</v>
      </c>
      <c r="Y279" t="s">
        <v>911</v>
      </c>
      <c r="Z279" t="s">
        <v>907</v>
      </c>
      <c r="AA279" t="s">
        <v>1126</v>
      </c>
      <c r="AB279">
        <v>2</v>
      </c>
    </row>
    <row r="280" spans="1:28" x14ac:dyDescent="0.25">
      <c r="A280" s="4">
        <v>279</v>
      </c>
      <c r="B280" s="4" t="s">
        <v>744</v>
      </c>
      <c r="C280" s="28">
        <v>4.5999999999999996</v>
      </c>
      <c r="D280" s="4">
        <v>2023</v>
      </c>
      <c r="E280" s="5" t="s">
        <v>502</v>
      </c>
      <c r="F280" s="10" t="s">
        <v>503</v>
      </c>
      <c r="G280" s="10" t="s">
        <v>504</v>
      </c>
      <c r="H280" s="10" t="s">
        <v>506</v>
      </c>
      <c r="I280" s="10" t="s">
        <v>505</v>
      </c>
      <c r="J280" s="10" t="s">
        <v>208</v>
      </c>
      <c r="K280" s="10" t="s">
        <v>220</v>
      </c>
      <c r="L280" t="s">
        <v>222</v>
      </c>
      <c r="M280" s="4">
        <v>6.6</v>
      </c>
      <c r="N280" s="4">
        <v>58</v>
      </c>
      <c r="O280" s="4">
        <v>2.9</v>
      </c>
      <c r="P280" s="20">
        <f>(M280+(N280/10)+(O280*2))/3</f>
        <v>6.0666666666666664</v>
      </c>
      <c r="Q280" s="20">
        <f>(M280+C280+(N280/10)+(O280*2))/4</f>
        <v>5.7</v>
      </c>
      <c r="R280" s="20">
        <f>(M280+C280+(N280/10))/3</f>
        <v>5.666666666666667</v>
      </c>
      <c r="S280" s="27">
        <f>IF(C280 &gt; 9.25, 10, IF(C280 &gt; 6.75, ROUND(C280, 0), MAX(1, FLOOR(C280, 1))))</f>
        <v>4</v>
      </c>
      <c r="T280" s="20">
        <f>S280/2</f>
        <v>2</v>
      </c>
      <c r="U280" s="25">
        <v>45448</v>
      </c>
      <c r="V280">
        <v>1</v>
      </c>
      <c r="W280" s="25" t="s">
        <v>758</v>
      </c>
      <c r="X280">
        <v>158</v>
      </c>
      <c r="Y280" t="s">
        <v>916</v>
      </c>
      <c r="Z280" t="s">
        <v>902</v>
      </c>
      <c r="AA280" s="25"/>
    </row>
    <row r="281" spans="1:28" x14ac:dyDescent="0.25">
      <c r="A281" s="4">
        <v>280</v>
      </c>
      <c r="B281" s="4" t="s">
        <v>738</v>
      </c>
      <c r="C281" s="28">
        <v>4.5</v>
      </c>
      <c r="D281" s="4">
        <v>2007</v>
      </c>
      <c r="E281" s="5" t="s">
        <v>46</v>
      </c>
      <c r="F281" s="10" t="s">
        <v>116</v>
      </c>
      <c r="G281" s="10" t="s">
        <v>1203</v>
      </c>
      <c r="H281" s="10" t="s">
        <v>321</v>
      </c>
      <c r="I281" s="10" t="s">
        <v>47</v>
      </c>
      <c r="J281" s="10" t="s">
        <v>221</v>
      </c>
      <c r="K281" s="10" t="s">
        <v>219</v>
      </c>
      <c r="M281" s="4">
        <v>5.9</v>
      </c>
      <c r="N281" s="4">
        <v>14</v>
      </c>
      <c r="O281" s="4">
        <v>2.5</v>
      </c>
      <c r="P281" s="20">
        <f>(M281+(N281/10)+(O281*2))/3</f>
        <v>4.1000000000000005</v>
      </c>
      <c r="Q281" s="20">
        <f>(M281+C281+(N281/10)+(O281*2))/4</f>
        <v>4.2</v>
      </c>
      <c r="R281" s="20">
        <f>(M281+C281+(N281/10))/3</f>
        <v>3.9333333333333336</v>
      </c>
      <c r="S281" s="27">
        <f>IF(C281 &gt; 9.25, 10, IF(C281 &gt; 6.75, ROUND(C281, 0), MAX(1, FLOOR(C281, 1))))</f>
        <v>4</v>
      </c>
      <c r="T281" s="20">
        <f>S281/2</f>
        <v>2</v>
      </c>
      <c r="U281" s="25">
        <v>44711</v>
      </c>
      <c r="V281">
        <v>1</v>
      </c>
      <c r="W281" s="25" t="s">
        <v>758</v>
      </c>
      <c r="X281">
        <v>115</v>
      </c>
      <c r="Y281" t="s">
        <v>911</v>
      </c>
      <c r="Z281" t="s">
        <v>825</v>
      </c>
      <c r="AA281" s="25"/>
    </row>
    <row r="282" spans="1:28" x14ac:dyDescent="0.25">
      <c r="A282" s="4">
        <v>281</v>
      </c>
      <c r="B282" s="4" t="s">
        <v>100</v>
      </c>
      <c r="C282" s="28">
        <v>4.4000000000000004</v>
      </c>
      <c r="D282" s="4">
        <v>1976</v>
      </c>
      <c r="E282" s="10" t="s">
        <v>30</v>
      </c>
      <c r="F282" s="10" t="s">
        <v>333</v>
      </c>
      <c r="G282" s="10" t="s">
        <v>1299</v>
      </c>
      <c r="H282" s="10" t="s">
        <v>334</v>
      </c>
      <c r="I282" s="10" t="s">
        <v>35</v>
      </c>
      <c r="J282" s="10" t="s">
        <v>215</v>
      </c>
      <c r="K282" s="10" t="s">
        <v>209</v>
      </c>
      <c r="M282" s="4">
        <v>8.1999999999999993</v>
      </c>
      <c r="N282" s="4">
        <v>96</v>
      </c>
      <c r="O282" s="4">
        <v>4.0999999999999996</v>
      </c>
      <c r="P282" s="20">
        <f>(M282+(N282/10)+(O282*2))/3</f>
        <v>8.6666666666666661</v>
      </c>
      <c r="Q282" s="20">
        <f>(M282+C282+(N282/10)+(O282*2))/4</f>
        <v>7.6</v>
      </c>
      <c r="R282" s="20">
        <f>(M282+C282+(N282/10))/3</f>
        <v>7.3999999999999995</v>
      </c>
      <c r="S282" s="27">
        <f>IF(C282 &gt; 9.25, 10, IF(C282 &gt; 6.75, ROUND(C282, 0), MAX(1, FLOOR(C282, 1))))</f>
        <v>4</v>
      </c>
      <c r="T282" s="20">
        <f>S282/2</f>
        <v>2</v>
      </c>
      <c r="U282" s="25">
        <v>44752</v>
      </c>
      <c r="V282">
        <v>1</v>
      </c>
      <c r="W282" s="25" t="s">
        <v>758</v>
      </c>
      <c r="X282">
        <v>114</v>
      </c>
      <c r="Y282" t="s">
        <v>911</v>
      </c>
      <c r="Z282" t="s">
        <v>825</v>
      </c>
      <c r="AA282" s="25"/>
    </row>
    <row r="283" spans="1:28" x14ac:dyDescent="0.25">
      <c r="A283" s="4">
        <v>282</v>
      </c>
      <c r="B283" s="4" t="s">
        <v>128</v>
      </c>
      <c r="C283" s="28">
        <v>4.3</v>
      </c>
      <c r="D283" s="4">
        <v>1993</v>
      </c>
      <c r="E283" s="5" t="s">
        <v>129</v>
      </c>
      <c r="F283" s="10" t="s">
        <v>1173</v>
      </c>
      <c r="G283" s="10" t="s">
        <v>318</v>
      </c>
      <c r="H283" s="10" t="s">
        <v>319</v>
      </c>
      <c r="I283" s="10" t="s">
        <v>130</v>
      </c>
      <c r="J283" s="10" t="s">
        <v>396</v>
      </c>
      <c r="K283" s="10" t="s">
        <v>209</v>
      </c>
      <c r="L283" s="10" t="s">
        <v>220</v>
      </c>
      <c r="M283" s="4">
        <v>7.8</v>
      </c>
      <c r="N283" s="4">
        <v>65</v>
      </c>
      <c r="O283" s="4">
        <v>3.9</v>
      </c>
      <c r="P283" s="20">
        <f>(M283+(N283/10)+(O283*2))/3</f>
        <v>7.3666666666666671</v>
      </c>
      <c r="Q283" s="20">
        <f>(M283+C283+(N283/10)+(O283*2))/4</f>
        <v>6.6000000000000005</v>
      </c>
      <c r="R283" s="20">
        <f>(M283+C283+(N283/10))/3</f>
        <v>6.2</v>
      </c>
      <c r="S283" s="27">
        <f>IF(C283 &gt; 9.25, 10, IF(C283 &gt; 6.75, ROUND(C283, 0), MAX(1, FLOOR(C283, 1))))</f>
        <v>4</v>
      </c>
      <c r="T283" s="20">
        <f>S283/2</f>
        <v>2</v>
      </c>
      <c r="U283" s="25">
        <v>44741</v>
      </c>
      <c r="V283">
        <v>1</v>
      </c>
      <c r="W283" s="25" t="s">
        <v>758</v>
      </c>
      <c r="X283">
        <v>130</v>
      </c>
      <c r="Y283" t="s">
        <v>911</v>
      </c>
      <c r="Z283" t="s">
        <v>825</v>
      </c>
      <c r="AA283" s="25"/>
    </row>
    <row r="284" spans="1:28" x14ac:dyDescent="0.25">
      <c r="A284" s="4">
        <v>283</v>
      </c>
      <c r="B284" s="4" t="s">
        <v>556</v>
      </c>
      <c r="C284" s="28">
        <v>4.2</v>
      </c>
      <c r="D284" s="4">
        <v>2021</v>
      </c>
      <c r="E284" s="5" t="s">
        <v>557</v>
      </c>
      <c r="F284" s="10" t="s">
        <v>367</v>
      </c>
      <c r="G284" s="10" t="s">
        <v>558</v>
      </c>
      <c r="H284" s="10" t="s">
        <v>559</v>
      </c>
      <c r="I284" s="10" t="s">
        <v>1209</v>
      </c>
      <c r="J284" s="10" t="s">
        <v>223</v>
      </c>
      <c r="K284" s="10" t="s">
        <v>209</v>
      </c>
      <c r="L284" s="10" t="s">
        <v>222</v>
      </c>
      <c r="M284" s="4">
        <v>8</v>
      </c>
      <c r="N284" s="4">
        <v>83</v>
      </c>
      <c r="O284" s="4">
        <v>3.9</v>
      </c>
      <c r="P284" s="20">
        <f>(M284+(N284/10)+(O284*2))/3</f>
        <v>8.0333333333333332</v>
      </c>
      <c r="Q284" s="20">
        <f>(M284+C284+(N284/10)+(O284*2))/4</f>
        <v>7.0750000000000002</v>
      </c>
      <c r="R284" s="20">
        <f>(M284+C284+(N284/10))/3</f>
        <v>6.833333333333333</v>
      </c>
      <c r="S284" s="27">
        <f>IF(C284 &gt; 9.25, 10, IF(C284 &gt; 6.75, ROUND(C284, 0), MAX(1, FLOOR(C284, 1))))</f>
        <v>4</v>
      </c>
      <c r="T284" s="20">
        <f>S284/2</f>
        <v>2</v>
      </c>
      <c r="U284" s="25">
        <v>45364</v>
      </c>
      <c r="V284">
        <v>1</v>
      </c>
      <c r="W284" s="25" t="s">
        <v>758</v>
      </c>
      <c r="X284">
        <v>155</v>
      </c>
      <c r="Y284" t="s">
        <v>828</v>
      </c>
      <c r="Z284" t="s">
        <v>920</v>
      </c>
      <c r="AA284" s="25"/>
    </row>
    <row r="285" spans="1:28" x14ac:dyDescent="0.25">
      <c r="A285" s="4">
        <v>284</v>
      </c>
      <c r="B285" s="4" t="s">
        <v>121</v>
      </c>
      <c r="C285" s="28">
        <v>4.0999999999999996</v>
      </c>
      <c r="D285" s="4">
        <v>2016</v>
      </c>
      <c r="E285" s="10" t="s">
        <v>122</v>
      </c>
      <c r="F285" s="10" t="s">
        <v>123</v>
      </c>
      <c r="G285" s="10" t="s">
        <v>325</v>
      </c>
      <c r="H285" s="10" t="s">
        <v>324</v>
      </c>
      <c r="I285" s="10" t="s">
        <v>122</v>
      </c>
      <c r="J285" s="10" t="s">
        <v>209</v>
      </c>
      <c r="M285" s="4">
        <v>7.2</v>
      </c>
      <c r="N285" s="4">
        <v>92</v>
      </c>
      <c r="O285" s="4">
        <v>3.6</v>
      </c>
      <c r="P285" s="20">
        <f>(M285+(N285/10)+(O285*2))/3</f>
        <v>7.8666666666666663</v>
      </c>
      <c r="Q285" s="20">
        <f>(M285+C285+(N285/10)+(O285*2))/4</f>
        <v>6.9249999999999998</v>
      </c>
      <c r="R285" s="20">
        <f>(M285+C285+(N285/10))/3</f>
        <v>6.833333333333333</v>
      </c>
      <c r="S285" s="27">
        <f>IF(C285 &gt; 9.25, 10, IF(C285 &gt; 6.75, ROUND(C285, 0), MAX(1, FLOOR(C285, 1))))</f>
        <v>4</v>
      </c>
      <c r="T285" s="20">
        <f>S285/2</f>
        <v>2</v>
      </c>
      <c r="U285" s="25">
        <v>44927</v>
      </c>
      <c r="V285">
        <v>1</v>
      </c>
      <c r="W285" s="25" t="s">
        <v>758</v>
      </c>
      <c r="X285">
        <v>139</v>
      </c>
      <c r="Y285" t="s">
        <v>829</v>
      </c>
      <c r="Z285" t="s">
        <v>925</v>
      </c>
      <c r="AA285" s="25"/>
    </row>
    <row r="286" spans="1:28" x14ac:dyDescent="0.25">
      <c r="A286" s="4">
        <v>285</v>
      </c>
      <c r="B286" s="4" t="s">
        <v>97</v>
      </c>
      <c r="C286" s="28">
        <v>4</v>
      </c>
      <c r="D286" s="4">
        <v>1980</v>
      </c>
      <c r="E286" s="10" t="s">
        <v>30</v>
      </c>
      <c r="F286" s="10" t="s">
        <v>32</v>
      </c>
      <c r="G286" s="10" t="s">
        <v>34</v>
      </c>
      <c r="H286" s="10" t="s">
        <v>1204</v>
      </c>
      <c r="I286" s="10" t="s">
        <v>35</v>
      </c>
      <c r="J286" s="10" t="s">
        <v>210</v>
      </c>
      <c r="K286" s="10" t="s">
        <v>220</v>
      </c>
      <c r="L286" s="10" t="s">
        <v>209</v>
      </c>
      <c r="M286" s="4">
        <v>8.1</v>
      </c>
      <c r="N286" s="4">
        <v>93</v>
      </c>
      <c r="O286" s="4">
        <v>4.2</v>
      </c>
      <c r="P286" s="20">
        <f>(M286+(N286/10)+(O286*2))/3</f>
        <v>8.6</v>
      </c>
      <c r="Q286" s="20">
        <f>(M286+C286+(N286/10)+(O286*2))/4</f>
        <v>7.4499999999999993</v>
      </c>
      <c r="R286" s="20">
        <f>(M286+C286+(N286/10))/3</f>
        <v>7.1333333333333329</v>
      </c>
      <c r="S286" s="27">
        <f>IF(C286 &gt; 9.25, 10, IF(C286 &gt; 6.75, ROUND(C286, 0), MAX(1, FLOOR(C286, 1))))</f>
        <v>4</v>
      </c>
      <c r="T286" s="20">
        <f>S286/2</f>
        <v>2</v>
      </c>
      <c r="U286" s="25">
        <v>44753</v>
      </c>
      <c r="V286">
        <v>1</v>
      </c>
      <c r="W286" s="25" t="s">
        <v>758</v>
      </c>
      <c r="X286">
        <v>129</v>
      </c>
      <c r="Y286" t="s">
        <v>911</v>
      </c>
      <c r="Z286" t="s">
        <v>825</v>
      </c>
      <c r="AA286" s="25"/>
    </row>
    <row r="287" spans="1:28" x14ac:dyDescent="0.25">
      <c r="A287" s="4">
        <v>286</v>
      </c>
      <c r="B287" s="4" t="s">
        <v>1168</v>
      </c>
      <c r="C287" s="28">
        <v>3.9</v>
      </c>
      <c r="D287" s="4">
        <v>1990</v>
      </c>
      <c r="E287" s="10" t="s">
        <v>1151</v>
      </c>
      <c r="F287" s="10" t="s">
        <v>1152</v>
      </c>
      <c r="G287" s="10" t="s">
        <v>1153</v>
      </c>
      <c r="H287" s="10" t="s">
        <v>1205</v>
      </c>
      <c r="I287" s="10" t="s">
        <v>1154</v>
      </c>
      <c r="J287" s="10" t="s">
        <v>210</v>
      </c>
      <c r="K287" s="10" t="s">
        <v>209</v>
      </c>
      <c r="L287" s="10" t="s">
        <v>1155</v>
      </c>
      <c r="M287" s="4">
        <v>5.4</v>
      </c>
      <c r="N287" s="4">
        <v>32</v>
      </c>
      <c r="O287" s="4">
        <v>2.5</v>
      </c>
      <c r="P287" s="20">
        <f>(M287+(N287/10)+(O287*2))/3</f>
        <v>4.5333333333333341</v>
      </c>
      <c r="Q287" s="20">
        <f>(M287+C287+(N287/10)+(O287*2))/4</f>
        <v>4.375</v>
      </c>
      <c r="R287" s="20">
        <f>(M287+C287+(N287/10))/3</f>
        <v>4.166666666666667</v>
      </c>
      <c r="S287" s="27">
        <f>IF(C287 &gt; 9.25, 10, IF(C287 &gt; 6.75, ROUND(C287, 0), MAX(1, FLOOR(C287, 1))))</f>
        <v>3</v>
      </c>
      <c r="T287" s="20">
        <f>S287/2</f>
        <v>1.5</v>
      </c>
      <c r="U287" s="25">
        <v>46198</v>
      </c>
      <c r="V287">
        <v>1</v>
      </c>
      <c r="W287" s="25" t="s">
        <v>758</v>
      </c>
      <c r="X287">
        <v>104</v>
      </c>
      <c r="Y287" t="s">
        <v>911</v>
      </c>
      <c r="Z287" t="s">
        <v>907</v>
      </c>
      <c r="AA287" t="s">
        <v>1150</v>
      </c>
      <c r="AB287">
        <v>5</v>
      </c>
    </row>
    <row r="288" spans="1:28" x14ac:dyDescent="0.25">
      <c r="A288" s="4">
        <v>287</v>
      </c>
      <c r="B288" s="4" t="s">
        <v>432</v>
      </c>
      <c r="C288" s="28">
        <v>3.8</v>
      </c>
      <c r="D288" s="4">
        <v>1951</v>
      </c>
      <c r="E288" s="10" t="s">
        <v>490</v>
      </c>
      <c r="F288" s="10" t="s">
        <v>429</v>
      </c>
      <c r="G288" s="10" t="s">
        <v>430</v>
      </c>
      <c r="H288" s="10" t="s">
        <v>433</v>
      </c>
      <c r="I288" s="10" t="s">
        <v>431</v>
      </c>
      <c r="J288" s="10" t="s">
        <v>209</v>
      </c>
      <c r="K288" s="10" t="s">
        <v>674</v>
      </c>
      <c r="M288" s="4">
        <v>7.9</v>
      </c>
      <c r="N288" s="4">
        <v>98</v>
      </c>
      <c r="O288" s="4">
        <v>4</v>
      </c>
      <c r="P288" s="20">
        <f>(M288+(N288/10)+(O288*2))/3</f>
        <v>8.5666666666666682</v>
      </c>
      <c r="Q288" s="20">
        <f>(M288+C288+(N288/10)+(O288*2))/4</f>
        <v>7.375</v>
      </c>
      <c r="R288" s="20">
        <f>(M288+C288+(N288/10))/3</f>
        <v>7.166666666666667</v>
      </c>
      <c r="S288" s="27">
        <f>IF(C288 &gt; 9.25, 10, IF(C288 &gt; 6.75, ROUND(C288, 0), MAX(1, FLOOR(C288, 1))))</f>
        <v>3</v>
      </c>
      <c r="T288" s="20">
        <f>S288/2</f>
        <v>1.5</v>
      </c>
      <c r="U288" s="25">
        <v>44958</v>
      </c>
      <c r="V288">
        <v>1</v>
      </c>
      <c r="W288" s="25" t="s">
        <v>758</v>
      </c>
      <c r="X288">
        <v>122</v>
      </c>
      <c r="Y288" t="s">
        <v>829</v>
      </c>
      <c r="Z288" t="s">
        <v>925</v>
      </c>
      <c r="AA288" s="25"/>
    </row>
    <row r="289" spans="1:27" x14ac:dyDescent="0.25">
      <c r="A289" s="4">
        <v>288</v>
      </c>
      <c r="B289" s="4" t="s">
        <v>117</v>
      </c>
      <c r="C289" s="28">
        <v>3.7</v>
      </c>
      <c r="D289" s="4">
        <v>2014</v>
      </c>
      <c r="E289" s="10" t="s">
        <v>118</v>
      </c>
      <c r="F289" s="10" t="s">
        <v>119</v>
      </c>
      <c r="G289" s="10" t="s">
        <v>322</v>
      </c>
      <c r="H289" s="10" t="s">
        <v>323</v>
      </c>
      <c r="I289" s="10" t="s">
        <v>120</v>
      </c>
      <c r="J289" s="10" t="s">
        <v>209</v>
      </c>
      <c r="K289" s="10" t="s">
        <v>219</v>
      </c>
      <c r="M289" s="4">
        <v>7.2</v>
      </c>
      <c r="N289" s="4">
        <v>77</v>
      </c>
      <c r="O289" s="4">
        <v>3.4</v>
      </c>
      <c r="P289" s="20">
        <f>(M289+(N289/10)+(O289*2))/3</f>
        <v>7.2333333333333334</v>
      </c>
      <c r="Q289" s="20">
        <f>(M289+C289+(N289/10)+(O289*2))/4</f>
        <v>6.3500000000000005</v>
      </c>
      <c r="R289" s="20">
        <f>(M289+C289+(N289/10))/3</f>
        <v>6.2</v>
      </c>
      <c r="S289" s="27">
        <f>IF(C289 &gt; 9.25, 10, IF(C289 &gt; 6.75, ROUND(C289, 0), MAX(1, FLOOR(C289, 1))))</f>
        <v>3</v>
      </c>
      <c r="T289" s="20">
        <f>S289/2</f>
        <v>1.5</v>
      </c>
      <c r="U289" s="25">
        <v>45017</v>
      </c>
      <c r="V289">
        <v>1</v>
      </c>
      <c r="W289" s="25" t="s">
        <v>758</v>
      </c>
      <c r="X289">
        <v>102</v>
      </c>
      <c r="Y289" t="s">
        <v>829</v>
      </c>
      <c r="Z289" t="s">
        <v>925</v>
      </c>
      <c r="AA289" s="25"/>
    </row>
    <row r="290" spans="1:27" x14ac:dyDescent="0.25">
      <c r="A290" s="4">
        <v>289</v>
      </c>
      <c r="B290" s="4" t="s">
        <v>98</v>
      </c>
      <c r="C290" s="28">
        <v>3.5</v>
      </c>
      <c r="D290" s="4">
        <v>2009</v>
      </c>
      <c r="E290" s="10" t="s">
        <v>1206</v>
      </c>
      <c r="F290" s="10" t="s">
        <v>311</v>
      </c>
      <c r="G290" s="10" t="s">
        <v>212</v>
      </c>
      <c r="H290" s="10" t="s">
        <v>312</v>
      </c>
      <c r="I290" s="10" t="s">
        <v>99</v>
      </c>
      <c r="J290" s="10" t="s">
        <v>223</v>
      </c>
      <c r="K290" t="s">
        <v>216</v>
      </c>
      <c r="L290" s="10" t="s">
        <v>209</v>
      </c>
      <c r="M290" s="4">
        <v>7.6</v>
      </c>
      <c r="N290" s="4">
        <v>65</v>
      </c>
      <c r="O290" s="4">
        <v>3.7</v>
      </c>
      <c r="P290" s="20">
        <f>(M290+(N290/10)+(O290*2))/3</f>
        <v>7.166666666666667</v>
      </c>
      <c r="Q290" s="20">
        <f>(M290+C290+(N290/10)+(O290*2))/4</f>
        <v>6.25</v>
      </c>
      <c r="R290" s="20">
        <f>(M290+C290+(N290/10))/3</f>
        <v>5.8666666666666671</v>
      </c>
      <c r="S290" s="27">
        <f>IF(C290 &gt; 9.25, 10, IF(C290 &gt; 6.75, ROUND(C290, 0), MAX(1, FLOOR(C290, 1))))</f>
        <v>3</v>
      </c>
      <c r="T290" s="20">
        <f>S290/2</f>
        <v>1.5</v>
      </c>
      <c r="U290" s="25">
        <v>45047</v>
      </c>
      <c r="V290">
        <v>1</v>
      </c>
      <c r="W290" s="25" t="s">
        <v>758</v>
      </c>
      <c r="X290">
        <v>162</v>
      </c>
      <c r="Y290" t="s">
        <v>829</v>
      </c>
      <c r="Z290" t="s">
        <v>925</v>
      </c>
      <c r="AA290" s="25"/>
    </row>
    <row r="291" spans="1:27" x14ac:dyDescent="0.25">
      <c r="A291" s="4">
        <v>290</v>
      </c>
      <c r="B291" s="4" t="s">
        <v>195</v>
      </c>
      <c r="C291" s="28">
        <v>3.1</v>
      </c>
      <c r="D291" s="4">
        <v>2010</v>
      </c>
      <c r="E291" s="5" t="s">
        <v>12</v>
      </c>
      <c r="F291" s="10" t="s">
        <v>308</v>
      </c>
      <c r="G291" s="10" t="s">
        <v>309</v>
      </c>
      <c r="H291" s="10" t="s">
        <v>310</v>
      </c>
      <c r="I291" s="10" t="s">
        <v>35</v>
      </c>
      <c r="J291" s="10" t="s">
        <v>586</v>
      </c>
      <c r="K291" t="s">
        <v>216</v>
      </c>
      <c r="L291" t="s">
        <v>217</v>
      </c>
      <c r="M291" s="4">
        <v>8.1999999999999993</v>
      </c>
      <c r="N291" s="4">
        <v>68</v>
      </c>
      <c r="O291" s="4">
        <v>4.2</v>
      </c>
      <c r="P291" s="20">
        <f>(M291+(N291/10)+(O291*2))/3</f>
        <v>7.8</v>
      </c>
      <c r="Q291" s="20">
        <f>(M291+C291+(N291/10)+(O291*2))/4</f>
        <v>6.625</v>
      </c>
      <c r="R291" s="20">
        <f>(M291+C291+(N291/10))/3</f>
        <v>6.0333333333333323</v>
      </c>
      <c r="S291" s="27">
        <f>IF(C291 &gt; 9.25, 10, IF(C291 &gt; 6.75, ROUND(C291, 0), MAX(1, FLOOR(C291, 1))))</f>
        <v>3</v>
      </c>
      <c r="T291" s="20">
        <f>S291/2</f>
        <v>1.5</v>
      </c>
      <c r="U291" s="25">
        <v>45106</v>
      </c>
      <c r="V291">
        <v>1</v>
      </c>
      <c r="W291" s="25" t="s">
        <v>758</v>
      </c>
      <c r="X291">
        <v>138</v>
      </c>
      <c r="Y291" t="s">
        <v>911</v>
      </c>
      <c r="Z291" t="s">
        <v>825</v>
      </c>
      <c r="AA291" s="25"/>
    </row>
    <row r="292" spans="1:27" x14ac:dyDescent="0.25">
      <c r="A292" s="4">
        <v>291</v>
      </c>
      <c r="B292" s="4" t="s">
        <v>737</v>
      </c>
      <c r="C292" s="28">
        <v>2.7</v>
      </c>
      <c r="D292" s="4">
        <v>2015</v>
      </c>
      <c r="E292" s="5" t="s">
        <v>10</v>
      </c>
      <c r="F292" s="10" t="s">
        <v>24</v>
      </c>
      <c r="G292" s="10" t="s">
        <v>420</v>
      </c>
      <c r="H292" s="10" t="s">
        <v>886</v>
      </c>
      <c r="I292" s="10" t="s">
        <v>421</v>
      </c>
      <c r="J292" s="10" t="s">
        <v>219</v>
      </c>
      <c r="K292" s="10" t="s">
        <v>225</v>
      </c>
      <c r="M292" s="4">
        <v>6.2</v>
      </c>
      <c r="N292" s="4">
        <v>30</v>
      </c>
      <c r="O292" s="4">
        <v>2.8</v>
      </c>
      <c r="P292" s="20">
        <f>(M292+(N292/10)+(O292*2))/3</f>
        <v>4.9333333333333327</v>
      </c>
      <c r="Q292" s="20">
        <f>(M292+C292+(N292/10)+(O292*2))/4</f>
        <v>4.375</v>
      </c>
      <c r="R292" s="20">
        <f>(M292+C292+(N292/10))/3</f>
        <v>3.9666666666666668</v>
      </c>
      <c r="S292" s="27">
        <f>IF(C292 &gt; 9.25, 10, IF(C292 &gt; 6.75, ROUND(C292, 0), MAX(1, FLOOR(C292, 1))))</f>
        <v>2</v>
      </c>
      <c r="T292" s="20">
        <f>S292/2</f>
        <v>1</v>
      </c>
      <c r="U292" s="25">
        <v>45106</v>
      </c>
      <c r="V292">
        <v>1</v>
      </c>
      <c r="W292" s="25" t="s">
        <v>758</v>
      </c>
      <c r="X292">
        <v>96</v>
      </c>
      <c r="Y292" t="s">
        <v>911</v>
      </c>
      <c r="Z292" t="s">
        <v>825</v>
      </c>
      <c r="AA292" s="25"/>
    </row>
    <row r="293" spans="1:27" x14ac:dyDescent="0.25">
      <c r="A293" s="4">
        <v>292</v>
      </c>
      <c r="B293" s="4" t="s">
        <v>198</v>
      </c>
      <c r="C293" s="28">
        <v>2.2999999999999998</v>
      </c>
      <c r="D293" s="4">
        <v>1998</v>
      </c>
      <c r="E293" s="10" t="s">
        <v>46</v>
      </c>
      <c r="F293" s="10" t="s">
        <v>326</v>
      </c>
      <c r="G293" s="10" t="s">
        <v>327</v>
      </c>
      <c r="H293" s="10" t="s">
        <v>328</v>
      </c>
      <c r="I293" s="10" t="s">
        <v>199</v>
      </c>
      <c r="J293" t="s">
        <v>219</v>
      </c>
      <c r="K293" t="s">
        <v>210</v>
      </c>
      <c r="M293" s="4">
        <v>6.1</v>
      </c>
      <c r="N293" s="4">
        <v>34</v>
      </c>
      <c r="O293" s="4">
        <v>2.9</v>
      </c>
      <c r="P293" s="20">
        <f>(M293+(N293/10)+(O293*2))/3</f>
        <v>5.1000000000000005</v>
      </c>
      <c r="Q293" s="20">
        <f>(M293+C293+(N293/10)+(O293*2))/4</f>
        <v>4.3999999999999995</v>
      </c>
      <c r="R293" s="20">
        <f>(M293+C293+(N293/10))/3</f>
        <v>3.9333333333333331</v>
      </c>
      <c r="S293" s="27">
        <f>IF(C293 &gt; 9.25, 10, IF(C293 &gt; 6.75, ROUND(C293, 0), MAX(1, FLOOR(C293, 1))))</f>
        <v>2</v>
      </c>
      <c r="T293" s="20">
        <f>S293/2</f>
        <v>1</v>
      </c>
      <c r="U293" s="25">
        <v>43880</v>
      </c>
      <c r="V293">
        <v>1</v>
      </c>
      <c r="W293" s="25" t="s">
        <v>758</v>
      </c>
      <c r="X293">
        <v>90</v>
      </c>
      <c r="Y293" t="s">
        <v>911</v>
      </c>
      <c r="Z293" t="s">
        <v>825</v>
      </c>
      <c r="AA293" s="25"/>
    </row>
    <row r="294" spans="1:27" x14ac:dyDescent="0.25">
      <c r="A294" s="4">
        <v>293</v>
      </c>
      <c r="B294" s="4" t="s">
        <v>131</v>
      </c>
      <c r="C294" s="28">
        <v>1.8</v>
      </c>
      <c r="D294" s="4">
        <v>2011</v>
      </c>
      <c r="E294" s="5" t="s">
        <v>46</v>
      </c>
      <c r="F294" s="10" t="s">
        <v>132</v>
      </c>
      <c r="G294" s="10" t="s">
        <v>133</v>
      </c>
      <c r="H294" s="10" t="s">
        <v>335</v>
      </c>
      <c r="I294" s="10" t="s">
        <v>47</v>
      </c>
      <c r="J294" s="10" t="s">
        <v>221</v>
      </c>
      <c r="K294" s="10" t="s">
        <v>219</v>
      </c>
      <c r="M294" s="4">
        <v>6.4</v>
      </c>
      <c r="N294" s="4">
        <v>19</v>
      </c>
      <c r="O294" s="4">
        <v>3.2</v>
      </c>
      <c r="P294" s="20">
        <f>(M294+(N294/10)+(O294*2))/3</f>
        <v>4.9000000000000004</v>
      </c>
      <c r="Q294" s="20">
        <f>(M294+C294+(N294/10)+(O294*2))/4</f>
        <v>4.125</v>
      </c>
      <c r="R294" s="20">
        <f>(M294+C294+(N294/10))/3</f>
        <v>3.3666666666666671</v>
      </c>
      <c r="S294" s="27">
        <f>IF(C294 &gt; 9.25, 10, IF(C294 &gt; 6.75, ROUND(C294, 0), MAX(1, FLOOR(C294, 1))))</f>
        <v>1</v>
      </c>
      <c r="T294" s="20">
        <f>S294/2</f>
        <v>0.5</v>
      </c>
      <c r="U294" s="25">
        <v>44709</v>
      </c>
      <c r="V294">
        <v>1</v>
      </c>
      <c r="W294" s="25" t="s">
        <v>758</v>
      </c>
      <c r="X294">
        <v>117</v>
      </c>
      <c r="Y294" t="s">
        <v>911</v>
      </c>
      <c r="Z294" t="s">
        <v>825</v>
      </c>
      <c r="AA294" s="25"/>
    </row>
    <row r="295" spans="1:27" x14ac:dyDescent="0.25">
      <c r="A295" s="4">
        <v>294</v>
      </c>
      <c r="B295" s="4" t="s">
        <v>605</v>
      </c>
      <c r="C295" s="28">
        <v>1.5</v>
      </c>
      <c r="D295" s="4">
        <v>1977</v>
      </c>
      <c r="E295" s="10" t="s">
        <v>450</v>
      </c>
      <c r="F295" s="10" t="s">
        <v>606</v>
      </c>
      <c r="G295" s="10" t="s">
        <v>607</v>
      </c>
      <c r="H295" s="10" t="s">
        <v>608</v>
      </c>
      <c r="I295" s="10" t="s">
        <v>1213</v>
      </c>
      <c r="J295" s="10" t="s">
        <v>210</v>
      </c>
      <c r="K295" s="10" t="s">
        <v>209</v>
      </c>
      <c r="L295" t="s">
        <v>219</v>
      </c>
      <c r="M295" s="4">
        <v>7.2</v>
      </c>
      <c r="N295" s="4">
        <v>85</v>
      </c>
      <c r="O295" s="4">
        <v>3.6</v>
      </c>
      <c r="P295" s="20">
        <f>(M295+(N295/10)+(O295*2))/3</f>
        <v>7.6333333333333329</v>
      </c>
      <c r="Q295" s="20">
        <f>(M295+C295+(N295/10)+(O295*2))/4</f>
        <v>6.1</v>
      </c>
      <c r="R295" s="20">
        <f>(M295+C295+(N295/10))/3</f>
        <v>5.7333333333333334</v>
      </c>
      <c r="S295" s="27">
        <f>IF(C295 &gt; 9.25, 10, IF(C295 &gt; 6.75, ROUND(C295, 0), MAX(1, FLOOR(C295, 1))))</f>
        <v>1</v>
      </c>
      <c r="T295" s="20">
        <f>S295/2</f>
        <v>0.5</v>
      </c>
      <c r="U295" s="25">
        <v>45483</v>
      </c>
      <c r="V295">
        <v>1</v>
      </c>
      <c r="W295" s="25" t="s">
        <v>758</v>
      </c>
      <c r="X295">
        <v>123</v>
      </c>
      <c r="Y295" t="s">
        <v>911</v>
      </c>
      <c r="Z295" t="s">
        <v>825</v>
      </c>
      <c r="AA295" s="25"/>
    </row>
    <row r="296" spans="1:27" x14ac:dyDescent="0.25">
      <c r="A296" s="4">
        <v>295</v>
      </c>
      <c r="B296" s="4" t="s">
        <v>137</v>
      </c>
      <c r="C296" s="28">
        <v>1.3</v>
      </c>
      <c r="D296" s="4">
        <v>2008</v>
      </c>
      <c r="E296" s="10" t="s">
        <v>10</v>
      </c>
      <c r="F296" s="10" t="s">
        <v>330</v>
      </c>
      <c r="G296" s="10" t="s">
        <v>331</v>
      </c>
      <c r="H296" s="10" t="s">
        <v>332</v>
      </c>
      <c r="I296" s="10" t="s">
        <v>138</v>
      </c>
      <c r="J296" s="10" t="s">
        <v>219</v>
      </c>
      <c r="K296" t="s">
        <v>210</v>
      </c>
      <c r="M296" s="4">
        <v>5.8</v>
      </c>
      <c r="N296" s="4">
        <v>22</v>
      </c>
      <c r="O296" s="4">
        <v>2.9</v>
      </c>
      <c r="P296" s="20">
        <f>(M296+(N296/10)+(O296*2))/3</f>
        <v>4.6000000000000005</v>
      </c>
      <c r="Q296" s="20">
        <f>(M296+C296+(N296/10)+(O296*2))/4</f>
        <v>3.7750000000000004</v>
      </c>
      <c r="R296" s="20">
        <f>(M296+C296+(N296/10))/3</f>
        <v>3.1</v>
      </c>
      <c r="S296" s="27">
        <f>IF(C296 &gt; 9.25, 10, IF(C296 &gt; 6.75, ROUND(C296, 0), MAX(1, FLOOR(C296, 1))))</f>
        <v>1</v>
      </c>
      <c r="T296" s="20">
        <f>S296/2</f>
        <v>0.5</v>
      </c>
      <c r="U296" s="25">
        <v>43902</v>
      </c>
      <c r="V296">
        <v>1</v>
      </c>
      <c r="W296" s="25" t="s">
        <v>758</v>
      </c>
      <c r="X296">
        <v>91</v>
      </c>
      <c r="Y296" t="s">
        <v>911</v>
      </c>
      <c r="Z296" t="s">
        <v>825</v>
      </c>
      <c r="AA296" s="25"/>
    </row>
    <row r="297" spans="1:27" x14ac:dyDescent="0.25">
      <c r="A297" s="4">
        <v>296</v>
      </c>
      <c r="B297" s="4" t="s">
        <v>136</v>
      </c>
      <c r="C297" s="28">
        <v>1.1000000000000001</v>
      </c>
      <c r="D297" s="4">
        <v>2010</v>
      </c>
      <c r="E297" s="10" t="s">
        <v>10</v>
      </c>
      <c r="F297" s="10" t="s">
        <v>336</v>
      </c>
      <c r="G297" s="10" t="s">
        <v>337</v>
      </c>
      <c r="H297" s="10" t="s">
        <v>338</v>
      </c>
      <c r="I297" s="10" t="s">
        <v>135</v>
      </c>
      <c r="J297" s="10" t="s">
        <v>219</v>
      </c>
      <c r="K297" s="10" t="s">
        <v>209</v>
      </c>
      <c r="L297" s="10"/>
      <c r="M297" s="4">
        <v>6.4</v>
      </c>
      <c r="N297" s="4">
        <v>73</v>
      </c>
      <c r="O297" s="4">
        <v>3</v>
      </c>
      <c r="P297" s="20">
        <f>(M297+(N297/10)+(O297*2))/3</f>
        <v>6.5666666666666664</v>
      </c>
      <c r="Q297" s="20">
        <f>(M297+C297+(N297/10)+(O297*2))/4</f>
        <v>5.2</v>
      </c>
      <c r="R297" s="20">
        <f>(M297+C297+(N297/10))/3</f>
        <v>4.9333333333333336</v>
      </c>
      <c r="S297" s="27">
        <f>IF(C297 &gt; 9.25, 10, IF(C297 &gt; 6.75, ROUND(C297, 0), MAX(1, FLOOR(C297, 1))))</f>
        <v>1</v>
      </c>
      <c r="T297" s="20">
        <f>S297/2</f>
        <v>0.5</v>
      </c>
      <c r="U297" s="25">
        <v>44706</v>
      </c>
      <c r="V297">
        <v>1</v>
      </c>
      <c r="W297" s="25" t="s">
        <v>758</v>
      </c>
      <c r="X297">
        <v>97</v>
      </c>
      <c r="Y297" t="s">
        <v>911</v>
      </c>
      <c r="Z297" t="s">
        <v>825</v>
      </c>
      <c r="AA297" s="25"/>
    </row>
    <row r="298" spans="1:27" x14ac:dyDescent="0.25">
      <c r="A298" s="4">
        <v>297</v>
      </c>
      <c r="B298" s="4" t="s">
        <v>139</v>
      </c>
      <c r="C298" s="28">
        <v>0.9</v>
      </c>
      <c r="D298" s="4">
        <v>2006</v>
      </c>
      <c r="E298" s="10" t="s">
        <v>140</v>
      </c>
      <c r="F298" s="10" t="s">
        <v>49</v>
      </c>
      <c r="G298" s="10" t="s">
        <v>339</v>
      </c>
      <c r="H298" s="10" t="s">
        <v>340</v>
      </c>
      <c r="I298" s="10" t="s">
        <v>141</v>
      </c>
      <c r="J298" t="s">
        <v>210</v>
      </c>
      <c r="K298" t="s">
        <v>219</v>
      </c>
      <c r="L298" t="s">
        <v>221</v>
      </c>
      <c r="M298" s="4">
        <v>6.3</v>
      </c>
      <c r="N298" s="4">
        <v>43</v>
      </c>
      <c r="O298" s="4">
        <v>3.5</v>
      </c>
      <c r="P298" s="20">
        <f>(M298+(N298/10)+(O298*2))/3</f>
        <v>5.8666666666666671</v>
      </c>
      <c r="Q298" s="20">
        <f>(M298+C298+(N298/10)+(O298*2))/4</f>
        <v>4.625</v>
      </c>
      <c r="R298" s="20">
        <f>(M298+C298+(N298/10))/3</f>
        <v>3.8333333333333335</v>
      </c>
      <c r="S298" s="27">
        <f>IF(C298 &gt; 9.25, 10, IF(C298 &gt; 6.75, ROUND(C298, 0), MAX(1, FLOOR(C298, 1))))</f>
        <v>1</v>
      </c>
      <c r="T298" s="20">
        <f>S298/2</f>
        <v>0.5</v>
      </c>
      <c r="U298" s="25">
        <v>44986</v>
      </c>
      <c r="V298">
        <v>1</v>
      </c>
      <c r="W298" s="25" t="s">
        <v>758</v>
      </c>
      <c r="X298">
        <v>105</v>
      </c>
      <c r="Y298" t="s">
        <v>829</v>
      </c>
      <c r="Z298" t="s">
        <v>925</v>
      </c>
      <c r="AA298" s="25"/>
    </row>
  </sheetData>
  <autoFilter ref="B1:AB298" xr:uid="{8A9579FD-2A02-4EF9-875F-B089FD4F4BF3}">
    <sortState xmlns:xlrd2="http://schemas.microsoft.com/office/spreadsheetml/2017/richdata2" ref="B2:AB298">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972</v>
      </c>
      <c r="C1" s="1" t="s">
        <v>5</v>
      </c>
      <c r="D1" s="2" t="s">
        <v>385</v>
      </c>
    </row>
    <row r="2" spans="1:4" x14ac:dyDescent="0.25">
      <c r="A2" s="4" t="s">
        <v>938</v>
      </c>
      <c r="B2" s="28">
        <v>8.1020000000000003</v>
      </c>
      <c r="C2" s="12" t="s">
        <v>109</v>
      </c>
      <c r="D2" s="16">
        <v>8</v>
      </c>
    </row>
    <row r="3" spans="1:4" x14ac:dyDescent="0.25">
      <c r="A3" s="4" t="s">
        <v>967</v>
      </c>
      <c r="B3" s="28">
        <v>8.0050000000000008</v>
      </c>
      <c r="C3" s="12" t="s">
        <v>957</v>
      </c>
      <c r="D3" s="16">
        <v>8.3333333333333339</v>
      </c>
    </row>
    <row r="4" spans="1:4" x14ac:dyDescent="0.25">
      <c r="A4" s="4" t="s">
        <v>941</v>
      </c>
      <c r="B4" s="28">
        <v>7.9009999999999998</v>
      </c>
      <c r="C4" s="12" t="s">
        <v>109</v>
      </c>
      <c r="D4" s="16">
        <v>8.2000000000000011</v>
      </c>
    </row>
    <row r="5" spans="1:4" x14ac:dyDescent="0.25">
      <c r="A5" s="4" t="s">
        <v>956</v>
      </c>
      <c r="B5" s="28">
        <v>7.4009999999999998</v>
      </c>
      <c r="C5" s="12" t="s">
        <v>957</v>
      </c>
      <c r="D5" s="16">
        <v>7.8666666666666671</v>
      </c>
    </row>
    <row r="6" spans="1:4" x14ac:dyDescent="0.25">
      <c r="A6" s="4" t="s">
        <v>949</v>
      </c>
      <c r="B6" s="28">
        <v>7.3049999999999997</v>
      </c>
      <c r="C6" s="12" t="s">
        <v>788</v>
      </c>
      <c r="D6" s="16">
        <v>7</v>
      </c>
    </row>
    <row r="7" spans="1:4" x14ac:dyDescent="0.25">
      <c r="A7" s="4" t="s">
        <v>965</v>
      </c>
      <c r="B7" s="28">
        <v>7.101</v>
      </c>
      <c r="C7" s="12" t="s">
        <v>957</v>
      </c>
      <c r="D7" s="16">
        <v>7.7333333333333334</v>
      </c>
    </row>
    <row r="8" spans="1:4" x14ac:dyDescent="0.25">
      <c r="A8" s="4" t="s">
        <v>943</v>
      </c>
      <c r="B8" s="28">
        <v>6.7009999999999996</v>
      </c>
      <c r="C8" s="12" t="s">
        <v>109</v>
      </c>
      <c r="D8" s="16">
        <v>6.333333333333333</v>
      </c>
    </row>
    <row r="9" spans="1:4" x14ac:dyDescent="0.25">
      <c r="A9" s="4" t="s">
        <v>954</v>
      </c>
      <c r="B9" s="28">
        <v>6.2009999999999996</v>
      </c>
      <c r="C9" s="12" t="s">
        <v>788</v>
      </c>
      <c r="D9" s="16">
        <v>6.0333333333333341</v>
      </c>
    </row>
    <row r="11" spans="1:4" ht="15.75" thickBot="1" x14ac:dyDescent="0.3">
      <c r="A11" s="1" t="s">
        <v>5</v>
      </c>
      <c r="B11" s="1" t="s">
        <v>143</v>
      </c>
      <c r="C11" s="1" t="s">
        <v>973</v>
      </c>
      <c r="D11" s="2" t="s">
        <v>974</v>
      </c>
    </row>
    <row r="12" spans="1:4" x14ac:dyDescent="0.25">
      <c r="A12" s="12" t="s">
        <v>109</v>
      </c>
      <c r="B12" s="12">
        <v>3</v>
      </c>
      <c r="C12" s="13">
        <f>AVERAGEIF(Table1[Actor],A12,Table1[My Score])</f>
        <v>7.5680000000000005</v>
      </c>
      <c r="D12" s="13">
        <f>AVERAGEIF(Table1[Actor],A12,Table1[Critics])</f>
        <v>7.511111111111112</v>
      </c>
    </row>
    <row r="13" spans="1:4" x14ac:dyDescent="0.25">
      <c r="A13" s="12" t="s">
        <v>788</v>
      </c>
      <c r="B13" s="12">
        <v>2</v>
      </c>
      <c r="C13" s="13">
        <f>AVERAGEIF(Table1[Actor],A13,Table1[My Score])</f>
        <v>6.7530000000000001</v>
      </c>
      <c r="D13" s="13">
        <f>AVERAGEIF(Table1[Actor],A13,Table1[Critics])</f>
        <v>6.5166666666666675</v>
      </c>
    </row>
    <row r="14" spans="1:4" x14ac:dyDescent="0.25">
      <c r="A14" s="12" t="s">
        <v>957</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70"/>
  <sheetViews>
    <sheetView workbookViewId="0">
      <selection activeCell="E27" sqref="E27"/>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756</v>
      </c>
      <c r="G1" s="30" t="s">
        <v>840</v>
      </c>
      <c r="H1" s="31" t="s">
        <v>1010</v>
      </c>
      <c r="I1" s="31" t="s">
        <v>1007</v>
      </c>
      <c r="J1" s="31" t="s">
        <v>1008</v>
      </c>
      <c r="K1" s="32" t="s">
        <v>1009</v>
      </c>
      <c r="L1" s="32" t="s">
        <v>1011</v>
      </c>
      <c r="N1" s="19" t="s">
        <v>145</v>
      </c>
      <c r="O1" s="4">
        <f>COUNT('Movie Rankings'!A:A)</f>
        <v>297</v>
      </c>
    </row>
    <row r="2" spans="1:15" x14ac:dyDescent="0.25">
      <c r="A2">
        <v>1</v>
      </c>
      <c r="B2" t="s">
        <v>19</v>
      </c>
      <c r="C2" s="16">
        <v>163.81900000000002</v>
      </c>
      <c r="D2" s="12">
        <v>19</v>
      </c>
      <c r="E2" s="16">
        <v>9.4</v>
      </c>
      <c r="F2" s="16">
        <v>8.1</v>
      </c>
      <c r="G2" s="16">
        <v>153.06900000000002</v>
      </c>
      <c r="H2" s="16">
        <v>121.34800000000003</v>
      </c>
      <c r="I2" s="12">
        <v>14</v>
      </c>
      <c r="J2" s="16">
        <v>9.6</v>
      </c>
      <c r="K2" s="16">
        <v>8.6999999999999993</v>
      </c>
      <c r="L2" s="33">
        <f t="shared" ref="L2:L65" si="0">I2/D2</f>
        <v>0.73684210526315785</v>
      </c>
    </row>
    <row r="3" spans="1:15" x14ac:dyDescent="0.25">
      <c r="A3">
        <v>2</v>
      </c>
      <c r="B3" t="s">
        <v>52</v>
      </c>
      <c r="C3" s="16">
        <v>115.19499999999999</v>
      </c>
      <c r="D3" s="12">
        <v>14</v>
      </c>
      <c r="E3" s="16">
        <v>8.9</v>
      </c>
      <c r="F3" s="16">
        <v>7.7</v>
      </c>
      <c r="G3" s="16">
        <v>107.94499999999999</v>
      </c>
      <c r="H3" s="16">
        <v>76.629000000000005</v>
      </c>
      <c r="I3" s="12">
        <v>9</v>
      </c>
      <c r="J3" s="16">
        <v>9.5</v>
      </c>
      <c r="K3" s="16">
        <v>8.5</v>
      </c>
      <c r="L3" s="33">
        <f t="shared" si="0"/>
        <v>0.6428571428571429</v>
      </c>
    </row>
    <row r="4" spans="1:15" x14ac:dyDescent="0.25">
      <c r="A4">
        <v>3</v>
      </c>
      <c r="B4" t="s">
        <v>12</v>
      </c>
      <c r="C4" s="16">
        <v>81.096999999999994</v>
      </c>
      <c r="D4" s="12">
        <v>10</v>
      </c>
      <c r="E4" s="16">
        <v>9.1</v>
      </c>
      <c r="F4" s="16">
        <v>7.4</v>
      </c>
      <c r="G4" s="16">
        <v>74.22199999999998</v>
      </c>
      <c r="H4" s="16">
        <v>59.416999999999994</v>
      </c>
      <c r="I4" s="12">
        <v>7</v>
      </c>
      <c r="J4" s="16">
        <v>9.4</v>
      </c>
      <c r="K4" s="16">
        <v>8.5</v>
      </c>
      <c r="L4" s="33">
        <f t="shared" si="0"/>
        <v>0.7</v>
      </c>
    </row>
    <row r="5" spans="1:15" x14ac:dyDescent="0.25">
      <c r="A5">
        <v>4</v>
      </c>
      <c r="B5" s="10" t="s">
        <v>41</v>
      </c>
      <c r="C5" s="16">
        <v>81.325999999999993</v>
      </c>
      <c r="D5" s="12">
        <v>10</v>
      </c>
      <c r="E5" s="16">
        <v>9.1</v>
      </c>
      <c r="F5" s="16">
        <v>7.6</v>
      </c>
      <c r="G5" s="16">
        <v>76.325999999999993</v>
      </c>
      <c r="H5" s="16">
        <v>60.221000000000004</v>
      </c>
      <c r="I5" s="12">
        <v>7</v>
      </c>
      <c r="J5" s="16">
        <v>9.4</v>
      </c>
      <c r="K5" s="16">
        <v>8.6</v>
      </c>
      <c r="L5" s="33">
        <f t="shared" si="0"/>
        <v>0.7</v>
      </c>
    </row>
    <row r="6" spans="1:15" x14ac:dyDescent="0.25">
      <c r="A6">
        <v>5</v>
      </c>
      <c r="B6" t="s">
        <v>20</v>
      </c>
      <c r="C6" s="16">
        <v>63.057999999999993</v>
      </c>
      <c r="D6" s="12">
        <v>7</v>
      </c>
      <c r="E6" s="16">
        <v>9.6999999999999993</v>
      </c>
      <c r="F6" s="16">
        <v>8.5</v>
      </c>
      <c r="G6" s="16">
        <v>59.432999999999993</v>
      </c>
      <c r="H6" s="16">
        <v>59.432999999999993</v>
      </c>
      <c r="I6" s="12">
        <v>7</v>
      </c>
      <c r="J6" s="16">
        <v>9.1999999999999993</v>
      </c>
      <c r="K6" s="16">
        <v>8.5</v>
      </c>
      <c r="L6" s="33">
        <f t="shared" si="0"/>
        <v>1</v>
      </c>
    </row>
    <row r="7" spans="1:15" x14ac:dyDescent="0.25">
      <c r="A7">
        <v>6</v>
      </c>
      <c r="B7" t="s">
        <v>9</v>
      </c>
      <c r="C7" s="16">
        <v>178.255</v>
      </c>
      <c r="D7" s="12">
        <v>22</v>
      </c>
      <c r="E7" s="16">
        <v>9</v>
      </c>
      <c r="F7" s="16">
        <v>7.4</v>
      </c>
      <c r="G7" s="16">
        <v>162.37999999999997</v>
      </c>
      <c r="H7" s="16">
        <v>114.45499999999998</v>
      </c>
      <c r="I7" s="12">
        <v>14</v>
      </c>
      <c r="J7" s="16">
        <v>9.1999999999999993</v>
      </c>
      <c r="K7" s="16">
        <v>8.1999999999999993</v>
      </c>
      <c r="L7" s="33">
        <f t="shared" si="0"/>
        <v>0.63636363636363635</v>
      </c>
    </row>
    <row r="8" spans="1:15" x14ac:dyDescent="0.25">
      <c r="A8">
        <v>7</v>
      </c>
      <c r="B8" t="s">
        <v>576</v>
      </c>
      <c r="C8" s="16">
        <v>75.335999999999999</v>
      </c>
      <c r="D8" s="12">
        <v>9</v>
      </c>
      <c r="E8" s="16">
        <v>9.1999999999999993</v>
      </c>
      <c r="F8" s="16">
        <v>7.7</v>
      </c>
      <c r="G8" s="16">
        <v>69.335999999999999</v>
      </c>
      <c r="H8" s="16">
        <v>56.930999999999997</v>
      </c>
      <c r="I8" s="12">
        <v>7</v>
      </c>
      <c r="J8" s="16">
        <v>9</v>
      </c>
      <c r="K8" s="16">
        <v>8.1</v>
      </c>
      <c r="L8" s="33">
        <f t="shared" si="0"/>
        <v>0.77777777777777779</v>
      </c>
    </row>
    <row r="9" spans="1:15" x14ac:dyDescent="0.25">
      <c r="A9">
        <v>8</v>
      </c>
      <c r="B9" t="s">
        <v>530</v>
      </c>
      <c r="C9" s="16">
        <v>93.658000000000001</v>
      </c>
      <c r="D9" s="12">
        <v>11</v>
      </c>
      <c r="E9" s="16">
        <v>9.4</v>
      </c>
      <c r="F9" s="16">
        <v>8</v>
      </c>
      <c r="G9" s="16">
        <v>87.658000000000001</v>
      </c>
      <c r="H9" s="16">
        <v>87.658000000000001</v>
      </c>
      <c r="I9" s="12">
        <v>11</v>
      </c>
      <c r="J9" s="16">
        <v>9</v>
      </c>
      <c r="K9" s="16">
        <v>8</v>
      </c>
      <c r="L9" s="33">
        <f t="shared" si="0"/>
        <v>1</v>
      </c>
    </row>
    <row r="10" spans="1:15" x14ac:dyDescent="0.25">
      <c r="A10">
        <v>9</v>
      </c>
      <c r="B10" t="s">
        <v>985</v>
      </c>
      <c r="C10" s="16">
        <v>74.856999999999999</v>
      </c>
      <c r="D10" s="12">
        <v>9</v>
      </c>
      <c r="E10" s="16">
        <v>9.1999999999999993</v>
      </c>
      <c r="F10" s="16">
        <v>7.9</v>
      </c>
      <c r="G10" s="16">
        <v>71.231999999999999</v>
      </c>
      <c r="H10" s="16">
        <v>64.430999999999997</v>
      </c>
      <c r="I10" s="12">
        <v>8</v>
      </c>
      <c r="J10" s="16">
        <v>8.9</v>
      </c>
      <c r="K10" s="16">
        <v>8.1</v>
      </c>
      <c r="L10" s="33">
        <f t="shared" si="0"/>
        <v>0.88888888888888884</v>
      </c>
    </row>
    <row r="11" spans="1:15" x14ac:dyDescent="0.25">
      <c r="A11">
        <v>10</v>
      </c>
      <c r="B11" t="s">
        <v>63</v>
      </c>
      <c r="C11" s="16">
        <v>54.518999999999998</v>
      </c>
      <c r="D11" s="12">
        <v>6</v>
      </c>
      <c r="E11" s="16">
        <v>9.9</v>
      </c>
      <c r="F11" s="16">
        <v>8.4</v>
      </c>
      <c r="G11" s="16">
        <v>50.518999999999998</v>
      </c>
      <c r="H11" s="16">
        <v>44.211999999999996</v>
      </c>
      <c r="I11" s="12">
        <v>5</v>
      </c>
      <c r="J11" s="16">
        <v>8.8000000000000007</v>
      </c>
      <c r="K11" s="16">
        <v>8.8000000000000007</v>
      </c>
      <c r="L11" s="33">
        <f t="shared" si="0"/>
        <v>0.83333333333333337</v>
      </c>
    </row>
    <row r="12" spans="1:15" x14ac:dyDescent="0.25">
      <c r="A12">
        <v>11</v>
      </c>
      <c r="B12" t="s">
        <v>10</v>
      </c>
      <c r="C12" s="16">
        <v>79.307000000000002</v>
      </c>
      <c r="D12" s="12">
        <v>12</v>
      </c>
      <c r="E12" s="16">
        <v>7.4</v>
      </c>
      <c r="F12" s="16">
        <v>5.9</v>
      </c>
      <c r="G12" s="16">
        <v>70.931999999999988</v>
      </c>
      <c r="H12" s="16">
        <v>43.021999999999998</v>
      </c>
      <c r="I12" s="12">
        <v>5</v>
      </c>
      <c r="J12" s="16">
        <v>8.6999999999999993</v>
      </c>
      <c r="K12" s="16">
        <v>8.6</v>
      </c>
      <c r="L12" s="33">
        <f t="shared" si="0"/>
        <v>0.41666666666666669</v>
      </c>
    </row>
    <row r="13" spans="1:15" x14ac:dyDescent="0.25">
      <c r="A13">
        <v>12</v>
      </c>
      <c r="B13" s="10" t="s">
        <v>24</v>
      </c>
      <c r="C13" s="16">
        <v>66.453000000000003</v>
      </c>
      <c r="D13" s="12">
        <v>9</v>
      </c>
      <c r="E13" s="16">
        <v>8.1999999999999993</v>
      </c>
      <c r="F13" s="16">
        <v>6.9</v>
      </c>
      <c r="G13" s="16">
        <v>61.828000000000003</v>
      </c>
      <c r="H13" s="16">
        <v>36.016999999999996</v>
      </c>
      <c r="I13" s="12">
        <v>4</v>
      </c>
      <c r="J13" s="16">
        <v>8.6</v>
      </c>
      <c r="K13" s="16">
        <v>9</v>
      </c>
      <c r="L13" s="33">
        <f t="shared" si="0"/>
        <v>0.44444444444444442</v>
      </c>
    </row>
    <row r="14" spans="1:15" x14ac:dyDescent="0.25">
      <c r="A14">
        <v>13</v>
      </c>
      <c r="B14" t="s">
        <v>30</v>
      </c>
      <c r="C14" s="16">
        <v>64.991</v>
      </c>
      <c r="D14" s="12">
        <v>9</v>
      </c>
      <c r="E14" s="16">
        <v>8.1</v>
      </c>
      <c r="F14" s="16">
        <v>6.6</v>
      </c>
      <c r="G14" s="16">
        <v>59.616</v>
      </c>
      <c r="H14" s="16">
        <v>35.713000000000001</v>
      </c>
      <c r="I14" s="12">
        <v>4</v>
      </c>
      <c r="J14" s="16">
        <v>8.6</v>
      </c>
      <c r="K14" s="16">
        <v>8.9</v>
      </c>
      <c r="L14" s="33">
        <f t="shared" si="0"/>
        <v>0.44444444444444442</v>
      </c>
    </row>
    <row r="15" spans="1:15" x14ac:dyDescent="0.25">
      <c r="A15">
        <v>14</v>
      </c>
      <c r="B15" s="10" t="s">
        <v>158</v>
      </c>
      <c r="C15" s="16">
        <v>27.456000000000003</v>
      </c>
      <c r="D15" s="12">
        <v>3</v>
      </c>
      <c r="E15" s="16">
        <v>8.3000000000000007</v>
      </c>
      <c r="F15" s="16">
        <v>8.6</v>
      </c>
      <c r="G15" s="16">
        <v>25.706000000000003</v>
      </c>
      <c r="H15" s="16">
        <v>19.004000000000001</v>
      </c>
      <c r="I15" s="12">
        <v>2</v>
      </c>
      <c r="J15" s="16">
        <v>8.5</v>
      </c>
      <c r="K15" s="16">
        <v>9.5</v>
      </c>
      <c r="L15" s="33">
        <f t="shared" si="0"/>
        <v>0.66666666666666663</v>
      </c>
    </row>
    <row r="16" spans="1:15" x14ac:dyDescent="0.25">
      <c r="A16">
        <v>15</v>
      </c>
      <c r="B16" t="s">
        <v>1002</v>
      </c>
      <c r="C16" s="16">
        <v>55.600000000000009</v>
      </c>
      <c r="D16" s="12">
        <v>7</v>
      </c>
      <c r="E16" s="16">
        <v>8.6999999999999993</v>
      </c>
      <c r="F16" s="16">
        <v>7.7</v>
      </c>
      <c r="G16" s="16">
        <v>54.225000000000009</v>
      </c>
      <c r="H16" s="16">
        <v>48.521000000000008</v>
      </c>
      <c r="I16" s="12">
        <v>6</v>
      </c>
      <c r="J16" s="16">
        <v>8.4</v>
      </c>
      <c r="K16" s="16">
        <v>8.1</v>
      </c>
      <c r="L16" s="33">
        <f t="shared" si="0"/>
        <v>0.8571428571428571</v>
      </c>
    </row>
    <row r="17" spans="1:12" x14ac:dyDescent="0.25">
      <c r="A17">
        <v>16</v>
      </c>
      <c r="B17" t="s">
        <v>66</v>
      </c>
      <c r="C17" s="16">
        <v>35.890999999999998</v>
      </c>
      <c r="D17" s="12">
        <v>4</v>
      </c>
      <c r="E17" s="16">
        <v>8.3000000000000007</v>
      </c>
      <c r="F17" s="16">
        <v>8.5</v>
      </c>
      <c r="G17" s="16">
        <v>34.015999999999998</v>
      </c>
      <c r="H17" s="16">
        <v>27.311</v>
      </c>
      <c r="I17" s="12">
        <v>3</v>
      </c>
      <c r="J17" s="16">
        <v>8.3000000000000007</v>
      </c>
      <c r="K17" s="16">
        <v>9.1</v>
      </c>
      <c r="L17" s="33">
        <f t="shared" si="0"/>
        <v>0.75</v>
      </c>
    </row>
    <row r="18" spans="1:12" x14ac:dyDescent="0.25">
      <c r="A18">
        <v>17</v>
      </c>
      <c r="B18" s="10" t="s">
        <v>15</v>
      </c>
      <c r="C18" s="16">
        <v>34.036999999999999</v>
      </c>
      <c r="D18" s="12">
        <v>4</v>
      </c>
      <c r="E18" s="16">
        <v>7.9</v>
      </c>
      <c r="F18" s="16">
        <v>8.1</v>
      </c>
      <c r="G18" s="16">
        <v>32.411999999999999</v>
      </c>
      <c r="H18" s="16">
        <v>27.11</v>
      </c>
      <c r="I18" s="12">
        <v>3</v>
      </c>
      <c r="J18" s="16">
        <v>8.1999999999999993</v>
      </c>
      <c r="K18" s="16">
        <v>9</v>
      </c>
      <c r="L18" s="33">
        <f t="shared" si="0"/>
        <v>0.75</v>
      </c>
    </row>
    <row r="19" spans="1:12" x14ac:dyDescent="0.25">
      <c r="A19">
        <v>18</v>
      </c>
      <c r="B19" t="s">
        <v>77</v>
      </c>
      <c r="C19" s="16">
        <v>43.743000000000002</v>
      </c>
      <c r="D19" s="12">
        <v>5</v>
      </c>
      <c r="E19" s="16">
        <v>8.1999999999999993</v>
      </c>
      <c r="F19" s="16">
        <v>8.1999999999999993</v>
      </c>
      <c r="G19" s="16">
        <v>41.118000000000002</v>
      </c>
      <c r="H19" s="16">
        <v>34.315000000000005</v>
      </c>
      <c r="I19" s="12">
        <v>4</v>
      </c>
      <c r="J19" s="16">
        <v>8.1999999999999993</v>
      </c>
      <c r="K19" s="16">
        <v>8.6</v>
      </c>
      <c r="L19" s="33">
        <f t="shared" si="0"/>
        <v>0.8</v>
      </c>
    </row>
    <row r="20" spans="1:12" x14ac:dyDescent="0.25">
      <c r="A20">
        <v>19</v>
      </c>
      <c r="B20" t="s">
        <v>51</v>
      </c>
      <c r="C20" s="16">
        <v>19.706</v>
      </c>
      <c r="D20" s="12">
        <v>2</v>
      </c>
      <c r="E20" s="16">
        <v>8.6</v>
      </c>
      <c r="F20" s="16">
        <v>9.4</v>
      </c>
      <c r="G20" s="16">
        <v>18.706</v>
      </c>
      <c r="H20" s="16">
        <v>18.706</v>
      </c>
      <c r="I20" s="12">
        <v>2</v>
      </c>
      <c r="J20" s="16">
        <v>8.1</v>
      </c>
      <c r="K20" s="16">
        <v>9.4</v>
      </c>
      <c r="L20" s="33">
        <f t="shared" si="0"/>
        <v>1</v>
      </c>
    </row>
    <row r="21" spans="1:12" x14ac:dyDescent="0.25">
      <c r="A21">
        <v>20</v>
      </c>
      <c r="B21" t="s">
        <v>957</v>
      </c>
      <c r="C21" s="16">
        <v>43.869</v>
      </c>
      <c r="D21" s="12">
        <v>5</v>
      </c>
      <c r="E21" s="16">
        <v>8.3000000000000007</v>
      </c>
      <c r="F21" s="16">
        <v>8.1</v>
      </c>
      <c r="G21" s="16">
        <v>40.619</v>
      </c>
      <c r="H21" s="16">
        <v>40.619</v>
      </c>
      <c r="I21" s="12">
        <v>5</v>
      </c>
      <c r="J21" s="16">
        <v>8.1</v>
      </c>
      <c r="K21" s="16">
        <v>8.1</v>
      </c>
      <c r="L21" s="33">
        <f t="shared" si="0"/>
        <v>1</v>
      </c>
    </row>
    <row r="22" spans="1:12" x14ac:dyDescent="0.25">
      <c r="A22">
        <v>21</v>
      </c>
      <c r="B22" s="10" t="s">
        <v>517</v>
      </c>
      <c r="C22" s="16">
        <v>33.866</v>
      </c>
      <c r="D22" s="12">
        <v>4</v>
      </c>
      <c r="E22" s="16">
        <v>7.8</v>
      </c>
      <c r="F22" s="16">
        <v>8</v>
      </c>
      <c r="G22" s="16">
        <v>32.116</v>
      </c>
      <c r="H22" s="16">
        <v>26.014000000000003</v>
      </c>
      <c r="I22" s="12">
        <v>3</v>
      </c>
      <c r="J22" s="16">
        <v>8.1</v>
      </c>
      <c r="K22" s="16">
        <v>8.6999999999999993</v>
      </c>
      <c r="L22" s="33">
        <f t="shared" si="0"/>
        <v>0.75</v>
      </c>
    </row>
    <row r="23" spans="1:12" x14ac:dyDescent="0.25">
      <c r="A23">
        <v>22</v>
      </c>
      <c r="B23" s="5" t="s">
        <v>352</v>
      </c>
      <c r="C23" s="16">
        <v>25.706</v>
      </c>
      <c r="D23" s="12">
        <v>3</v>
      </c>
      <c r="E23" s="16">
        <v>7.7</v>
      </c>
      <c r="F23" s="16">
        <v>8.4</v>
      </c>
      <c r="G23" s="16">
        <v>25.206</v>
      </c>
      <c r="H23" s="16">
        <v>19.204000000000001</v>
      </c>
      <c r="I23" s="12">
        <v>2</v>
      </c>
      <c r="J23" s="16">
        <v>8</v>
      </c>
      <c r="K23" s="16">
        <v>9.6</v>
      </c>
      <c r="L23" s="33">
        <f t="shared" si="0"/>
        <v>0.66666666666666663</v>
      </c>
    </row>
    <row r="24" spans="1:12" x14ac:dyDescent="0.25">
      <c r="A24">
        <v>23</v>
      </c>
      <c r="B24" s="10" t="s">
        <v>1173</v>
      </c>
      <c r="C24" s="16">
        <v>32.135999999999996</v>
      </c>
      <c r="D24" s="12">
        <v>4</v>
      </c>
      <c r="E24" s="16">
        <v>7.4</v>
      </c>
      <c r="F24" s="16">
        <v>7.9</v>
      </c>
      <c r="G24" s="16">
        <v>31.510999999999999</v>
      </c>
      <c r="H24" s="16">
        <v>27.210999999999999</v>
      </c>
      <c r="I24" s="12">
        <v>3</v>
      </c>
      <c r="J24" s="16">
        <v>8</v>
      </c>
      <c r="K24" s="16">
        <v>9.1</v>
      </c>
      <c r="L24" s="33">
        <f t="shared" si="0"/>
        <v>0.75</v>
      </c>
    </row>
    <row r="25" spans="1:12" x14ac:dyDescent="0.25">
      <c r="A25">
        <v>24</v>
      </c>
      <c r="B25" t="s">
        <v>13</v>
      </c>
      <c r="C25" s="16">
        <v>50.469000000000008</v>
      </c>
      <c r="D25" s="12">
        <v>6</v>
      </c>
      <c r="E25" s="16">
        <v>9.1999999999999993</v>
      </c>
      <c r="F25" s="16">
        <v>8</v>
      </c>
      <c r="G25" s="16">
        <v>48.219000000000008</v>
      </c>
      <c r="H25" s="16">
        <v>34.913000000000004</v>
      </c>
      <c r="I25" s="12">
        <v>4</v>
      </c>
      <c r="J25" s="16">
        <v>8</v>
      </c>
      <c r="K25" s="16">
        <v>8.6999999999999993</v>
      </c>
      <c r="L25" s="33">
        <f t="shared" si="0"/>
        <v>0.66666666666666663</v>
      </c>
    </row>
    <row r="26" spans="1:12" x14ac:dyDescent="0.25">
      <c r="A26">
        <v>25</v>
      </c>
      <c r="B26" t="s">
        <v>260</v>
      </c>
      <c r="C26" s="16">
        <v>27.405999999999999</v>
      </c>
      <c r="D26" s="12">
        <v>3</v>
      </c>
      <c r="E26" s="16">
        <v>8.3000000000000007</v>
      </c>
      <c r="F26" s="16">
        <v>8.6</v>
      </c>
      <c r="G26" s="16">
        <v>25.905999999999999</v>
      </c>
      <c r="H26" s="16">
        <v>25.905999999999999</v>
      </c>
      <c r="I26" s="12">
        <v>3</v>
      </c>
      <c r="J26" s="16">
        <v>8</v>
      </c>
      <c r="K26" s="16">
        <v>8.6</v>
      </c>
      <c r="L26" s="33">
        <f t="shared" si="0"/>
        <v>1</v>
      </c>
    </row>
    <row r="27" spans="1:12" x14ac:dyDescent="0.25">
      <c r="A27">
        <v>26</v>
      </c>
      <c r="B27" t="s">
        <v>27</v>
      </c>
      <c r="C27" s="16">
        <v>25.864999999999998</v>
      </c>
      <c r="D27" s="12">
        <v>3</v>
      </c>
      <c r="E27" s="16">
        <v>7.8</v>
      </c>
      <c r="F27" s="16">
        <v>8.1999999999999993</v>
      </c>
      <c r="G27" s="16">
        <v>24.614999999999998</v>
      </c>
      <c r="H27" s="16">
        <v>18.210999999999999</v>
      </c>
      <c r="I27" s="12">
        <v>2</v>
      </c>
      <c r="J27" s="16">
        <v>7.9</v>
      </c>
      <c r="K27" s="16">
        <v>9.1</v>
      </c>
      <c r="L27" s="33">
        <f t="shared" si="0"/>
        <v>0.66666666666666663</v>
      </c>
    </row>
    <row r="28" spans="1:12" x14ac:dyDescent="0.25">
      <c r="A28">
        <v>27</v>
      </c>
      <c r="B28" t="s">
        <v>450</v>
      </c>
      <c r="C28" s="16">
        <v>27.557000000000002</v>
      </c>
      <c r="D28" s="12">
        <v>4</v>
      </c>
      <c r="E28" s="16">
        <v>6.3</v>
      </c>
      <c r="F28" s="16">
        <v>6.6</v>
      </c>
      <c r="G28" s="16">
        <v>26.307000000000002</v>
      </c>
      <c r="H28" s="16">
        <v>19.005000000000003</v>
      </c>
      <c r="I28" s="12">
        <v>2</v>
      </c>
      <c r="J28" s="16">
        <v>7.9</v>
      </c>
      <c r="K28" s="16">
        <v>9.5</v>
      </c>
      <c r="L28" s="33">
        <f t="shared" si="0"/>
        <v>0.5</v>
      </c>
    </row>
    <row r="29" spans="1:12" x14ac:dyDescent="0.25">
      <c r="A29">
        <v>28</v>
      </c>
      <c r="B29" t="s">
        <v>513</v>
      </c>
      <c r="C29" s="16">
        <v>40.893000000000001</v>
      </c>
      <c r="D29" s="12">
        <v>5</v>
      </c>
      <c r="E29" s="16">
        <v>7.7</v>
      </c>
      <c r="F29" s="16">
        <v>7.7</v>
      </c>
      <c r="G29" s="16">
        <v>38.518000000000001</v>
      </c>
      <c r="H29" s="16">
        <v>25.207000000000001</v>
      </c>
      <c r="I29" s="12">
        <v>3</v>
      </c>
      <c r="J29" s="16">
        <v>7.8</v>
      </c>
      <c r="K29" s="16">
        <v>8.4</v>
      </c>
      <c r="L29" s="33">
        <f t="shared" si="0"/>
        <v>0.6</v>
      </c>
    </row>
    <row r="30" spans="1:12" x14ac:dyDescent="0.25">
      <c r="A30">
        <v>29</v>
      </c>
      <c r="B30" t="s">
        <v>126</v>
      </c>
      <c r="C30" s="16">
        <v>37.335999999999999</v>
      </c>
      <c r="D30" s="12">
        <v>5</v>
      </c>
      <c r="E30" s="16">
        <v>7</v>
      </c>
      <c r="F30" s="16">
        <v>7.2</v>
      </c>
      <c r="G30" s="16">
        <v>36.210999999999999</v>
      </c>
      <c r="H30" s="16">
        <v>18.606000000000002</v>
      </c>
      <c r="I30" s="12">
        <v>2</v>
      </c>
      <c r="J30" s="16">
        <v>7.8</v>
      </c>
      <c r="K30" s="16">
        <v>9.3000000000000007</v>
      </c>
      <c r="L30" s="33">
        <f t="shared" si="0"/>
        <v>0.4</v>
      </c>
    </row>
    <row r="31" spans="1:12" x14ac:dyDescent="0.25">
      <c r="A31">
        <v>30</v>
      </c>
      <c r="B31" t="s">
        <v>151</v>
      </c>
      <c r="C31" s="16">
        <v>60.195999999999998</v>
      </c>
      <c r="D31" s="12">
        <v>8</v>
      </c>
      <c r="E31" s="16">
        <v>8.5</v>
      </c>
      <c r="F31" s="16">
        <v>7.1</v>
      </c>
      <c r="G31" s="16">
        <v>56.820999999999998</v>
      </c>
      <c r="H31" s="16">
        <v>32.808</v>
      </c>
      <c r="I31" s="12">
        <v>4</v>
      </c>
      <c r="J31" s="16">
        <v>7.8</v>
      </c>
      <c r="K31" s="16">
        <v>8.1999999999999993</v>
      </c>
      <c r="L31" s="33">
        <f t="shared" si="0"/>
        <v>0.5</v>
      </c>
    </row>
    <row r="32" spans="1:12" x14ac:dyDescent="0.25">
      <c r="A32">
        <v>31</v>
      </c>
      <c r="B32" t="s">
        <v>668</v>
      </c>
      <c r="C32" s="16">
        <v>34.51</v>
      </c>
      <c r="D32" s="12">
        <v>4</v>
      </c>
      <c r="E32" s="16">
        <v>8</v>
      </c>
      <c r="F32" s="16">
        <v>8.5</v>
      </c>
      <c r="G32" s="16">
        <v>34.01</v>
      </c>
      <c r="H32" s="16">
        <v>34.01</v>
      </c>
      <c r="I32" s="12">
        <v>4</v>
      </c>
      <c r="J32" s="16">
        <v>7.8</v>
      </c>
      <c r="K32" s="16">
        <v>8.5</v>
      </c>
      <c r="L32" s="33">
        <f t="shared" si="0"/>
        <v>1</v>
      </c>
    </row>
    <row r="33" spans="1:12" x14ac:dyDescent="0.25">
      <c r="A33">
        <v>32</v>
      </c>
      <c r="B33" t="s">
        <v>482</v>
      </c>
      <c r="C33" s="16">
        <v>27.016000000000002</v>
      </c>
      <c r="D33" s="12">
        <v>3</v>
      </c>
      <c r="E33" s="16">
        <v>8.1999999999999993</v>
      </c>
      <c r="F33" s="16">
        <v>8.8000000000000007</v>
      </c>
      <c r="G33" s="16">
        <v>26.516000000000002</v>
      </c>
      <c r="H33" s="16">
        <v>26.516000000000002</v>
      </c>
      <c r="I33" s="12">
        <v>3</v>
      </c>
      <c r="J33" s="16">
        <v>7.8</v>
      </c>
      <c r="K33" s="16">
        <v>8.8000000000000007</v>
      </c>
      <c r="L33" s="33">
        <f t="shared" si="0"/>
        <v>1</v>
      </c>
    </row>
    <row r="34" spans="1:12" x14ac:dyDescent="0.25">
      <c r="A34">
        <v>33</v>
      </c>
      <c r="B34" t="s">
        <v>1151</v>
      </c>
      <c r="C34" s="16">
        <v>61.422000000000004</v>
      </c>
      <c r="D34" s="12">
        <v>8</v>
      </c>
      <c r="E34" s="16">
        <v>8.6</v>
      </c>
      <c r="F34" s="16">
        <v>7.1</v>
      </c>
      <c r="G34" s="16">
        <v>56.422000000000004</v>
      </c>
      <c r="H34" s="16">
        <v>32.61</v>
      </c>
      <c r="I34" s="12">
        <v>4</v>
      </c>
      <c r="J34" s="16">
        <v>7.8</v>
      </c>
      <c r="K34" s="16">
        <v>8.1999999999999993</v>
      </c>
      <c r="L34" s="33">
        <f t="shared" si="0"/>
        <v>0.5</v>
      </c>
    </row>
    <row r="35" spans="1:12" x14ac:dyDescent="0.25">
      <c r="A35">
        <v>34</v>
      </c>
      <c r="B35" t="s">
        <v>1179</v>
      </c>
      <c r="C35" s="16">
        <v>25.306000000000001</v>
      </c>
      <c r="D35" s="12">
        <v>3</v>
      </c>
      <c r="E35" s="16">
        <v>7.6</v>
      </c>
      <c r="F35" s="16">
        <v>8.4</v>
      </c>
      <c r="G35" s="16">
        <v>25.306000000000001</v>
      </c>
      <c r="H35" s="16">
        <v>18.605</v>
      </c>
      <c r="I35" s="12">
        <v>2</v>
      </c>
      <c r="J35" s="16">
        <v>7.6</v>
      </c>
      <c r="K35" s="16">
        <v>9.3000000000000007</v>
      </c>
      <c r="L35" s="33">
        <f t="shared" si="0"/>
        <v>0.66666666666666663</v>
      </c>
    </row>
    <row r="36" spans="1:12" x14ac:dyDescent="0.25">
      <c r="A36">
        <v>35</v>
      </c>
      <c r="B36" s="10" t="s">
        <v>1241</v>
      </c>
      <c r="C36" s="16">
        <v>33.917999999999999</v>
      </c>
      <c r="D36" s="12">
        <v>4</v>
      </c>
      <c r="E36" s="16">
        <v>7.9</v>
      </c>
      <c r="F36" s="16">
        <v>7.9</v>
      </c>
      <c r="G36" s="16">
        <v>31.418000000000003</v>
      </c>
      <c r="H36" s="16">
        <v>24.513000000000002</v>
      </c>
      <c r="I36" s="12">
        <v>3</v>
      </c>
      <c r="J36" s="16">
        <v>7.6</v>
      </c>
      <c r="K36" s="16">
        <v>8.1999999999999993</v>
      </c>
      <c r="L36" s="33">
        <f t="shared" si="0"/>
        <v>0.75</v>
      </c>
    </row>
    <row r="37" spans="1:12" x14ac:dyDescent="0.25">
      <c r="A37">
        <v>36</v>
      </c>
      <c r="B37" t="s">
        <v>23</v>
      </c>
      <c r="C37" s="16">
        <v>18.657</v>
      </c>
      <c r="D37" s="12">
        <v>2</v>
      </c>
      <c r="E37" s="16">
        <v>8.1</v>
      </c>
      <c r="F37" s="16">
        <v>9.1999999999999993</v>
      </c>
      <c r="G37" s="16">
        <v>18.407</v>
      </c>
      <c r="H37" s="16">
        <v>18.407</v>
      </c>
      <c r="I37" s="12">
        <v>2</v>
      </c>
      <c r="J37" s="16">
        <v>7.6</v>
      </c>
      <c r="K37" s="16">
        <v>9.1999999999999993</v>
      </c>
      <c r="L37" s="33">
        <f t="shared" si="0"/>
        <v>1</v>
      </c>
    </row>
    <row r="38" spans="1:12" x14ac:dyDescent="0.25">
      <c r="A38">
        <v>37</v>
      </c>
      <c r="B38" t="s">
        <v>347</v>
      </c>
      <c r="C38" s="16">
        <v>62.408000000000001</v>
      </c>
      <c r="D38" s="12">
        <v>8</v>
      </c>
      <c r="E38" s="16">
        <v>8.6999999999999993</v>
      </c>
      <c r="F38" s="16">
        <v>7.4</v>
      </c>
      <c r="G38" s="16">
        <v>59.033000000000001</v>
      </c>
      <c r="H38" s="16">
        <v>40.226999999999997</v>
      </c>
      <c r="I38" s="12">
        <v>5</v>
      </c>
      <c r="J38" s="16">
        <v>7.6</v>
      </c>
      <c r="K38" s="16">
        <v>8</v>
      </c>
      <c r="L38" s="33">
        <f t="shared" si="0"/>
        <v>0.625</v>
      </c>
    </row>
    <row r="39" spans="1:12" x14ac:dyDescent="0.25">
      <c r="A39">
        <v>38</v>
      </c>
      <c r="B39" t="s">
        <v>1137</v>
      </c>
      <c r="C39" s="16">
        <v>33.911999999999999</v>
      </c>
      <c r="D39" s="12">
        <v>4</v>
      </c>
      <c r="E39" s="16">
        <v>7.9</v>
      </c>
      <c r="F39" s="16">
        <v>7.9</v>
      </c>
      <c r="G39" s="16">
        <v>31.412000000000003</v>
      </c>
      <c r="H39" s="16">
        <v>31.412000000000003</v>
      </c>
      <c r="I39" s="12">
        <v>4</v>
      </c>
      <c r="J39" s="16">
        <v>7.6</v>
      </c>
      <c r="K39" s="16">
        <v>7.9</v>
      </c>
      <c r="L39" s="33">
        <f t="shared" si="0"/>
        <v>1</v>
      </c>
    </row>
    <row r="40" spans="1:12" x14ac:dyDescent="0.25">
      <c r="A40">
        <v>39</v>
      </c>
      <c r="B40" t="s">
        <v>387</v>
      </c>
      <c r="C40" s="16">
        <v>24.532000000000004</v>
      </c>
      <c r="D40" s="4">
        <v>3</v>
      </c>
      <c r="E40" s="16">
        <v>7.3</v>
      </c>
      <c r="F40" s="16">
        <v>7.8</v>
      </c>
      <c r="G40" s="16">
        <v>23.407000000000004</v>
      </c>
      <c r="H40" s="16">
        <v>18.106000000000002</v>
      </c>
      <c r="I40" s="12">
        <v>2</v>
      </c>
      <c r="J40" s="16">
        <v>7.5</v>
      </c>
      <c r="K40" s="16">
        <v>9.1</v>
      </c>
      <c r="L40" s="33">
        <f t="shared" si="0"/>
        <v>0.66666666666666663</v>
      </c>
    </row>
    <row r="41" spans="1:12" x14ac:dyDescent="0.25">
      <c r="A41">
        <v>40</v>
      </c>
      <c r="B41" t="s">
        <v>91</v>
      </c>
      <c r="C41" s="16">
        <v>67.72999999999999</v>
      </c>
      <c r="D41" s="12">
        <v>9</v>
      </c>
      <c r="E41" s="16">
        <v>8.4</v>
      </c>
      <c r="F41" s="16">
        <v>7</v>
      </c>
      <c r="G41" s="16">
        <v>63.23</v>
      </c>
      <c r="H41" s="16">
        <v>32.411999999999999</v>
      </c>
      <c r="I41" s="12">
        <v>4</v>
      </c>
      <c r="J41" s="16">
        <v>7.5</v>
      </c>
      <c r="K41" s="16">
        <v>8.1</v>
      </c>
      <c r="L41" s="33">
        <f t="shared" si="0"/>
        <v>0.44444444444444442</v>
      </c>
    </row>
    <row r="42" spans="1:12" x14ac:dyDescent="0.25">
      <c r="A42">
        <v>41</v>
      </c>
      <c r="B42" t="s">
        <v>1296</v>
      </c>
      <c r="C42" s="16">
        <v>26.086000000000002</v>
      </c>
      <c r="D42" s="12">
        <v>3</v>
      </c>
      <c r="E42" s="16">
        <v>7.9</v>
      </c>
      <c r="F42" s="16">
        <v>8.6</v>
      </c>
      <c r="G42" s="16">
        <v>25.711000000000002</v>
      </c>
      <c r="H42" s="16">
        <v>25.711000000000002</v>
      </c>
      <c r="I42" s="12">
        <v>3</v>
      </c>
      <c r="J42" s="16">
        <v>7.5</v>
      </c>
      <c r="K42" s="16">
        <v>8.6</v>
      </c>
      <c r="L42" s="33">
        <f t="shared" si="0"/>
        <v>1</v>
      </c>
    </row>
    <row r="43" spans="1:12" x14ac:dyDescent="0.25">
      <c r="A43">
        <v>42</v>
      </c>
      <c r="B43" s="10" t="s">
        <v>1174</v>
      </c>
      <c r="C43" s="16">
        <v>24.334000000000003</v>
      </c>
      <c r="D43" s="12">
        <v>3</v>
      </c>
      <c r="E43" s="16">
        <v>7.3</v>
      </c>
      <c r="F43" s="16">
        <v>7.9</v>
      </c>
      <c r="G43" s="16">
        <v>23.709000000000003</v>
      </c>
      <c r="H43" s="16">
        <v>18.008000000000003</v>
      </c>
      <c r="I43" s="12">
        <v>2</v>
      </c>
      <c r="J43" s="16">
        <v>7.5</v>
      </c>
      <c r="K43" s="16">
        <v>9</v>
      </c>
      <c r="L43" s="33">
        <f t="shared" si="0"/>
        <v>0.66666666666666663</v>
      </c>
    </row>
    <row r="44" spans="1:12" x14ac:dyDescent="0.25">
      <c r="A44">
        <v>43</v>
      </c>
      <c r="B44" t="s">
        <v>235</v>
      </c>
      <c r="C44" s="16">
        <v>32.495000000000005</v>
      </c>
      <c r="D44" s="12">
        <v>4</v>
      </c>
      <c r="E44" s="16">
        <v>7.5</v>
      </c>
      <c r="F44" s="16">
        <v>7.8</v>
      </c>
      <c r="G44" s="16">
        <v>31.120000000000005</v>
      </c>
      <c r="H44" s="16">
        <v>24.816000000000003</v>
      </c>
      <c r="I44" s="12">
        <v>3</v>
      </c>
      <c r="J44" s="16">
        <v>7.5</v>
      </c>
      <c r="K44" s="16">
        <v>8.3000000000000007</v>
      </c>
      <c r="L44" s="33">
        <f t="shared" si="0"/>
        <v>0.75</v>
      </c>
    </row>
    <row r="45" spans="1:12" x14ac:dyDescent="0.25">
      <c r="A45">
        <v>44</v>
      </c>
      <c r="B45" t="s">
        <v>118</v>
      </c>
      <c r="C45" s="16">
        <v>37.234000000000002</v>
      </c>
      <c r="D45" s="12">
        <v>5</v>
      </c>
      <c r="E45" s="16">
        <v>6.9</v>
      </c>
      <c r="F45" s="16">
        <v>6.8</v>
      </c>
      <c r="G45" s="16">
        <v>34.109000000000002</v>
      </c>
      <c r="H45" s="16">
        <v>23.603999999999999</v>
      </c>
      <c r="I45" s="12">
        <v>3</v>
      </c>
      <c r="J45" s="16">
        <v>7.5</v>
      </c>
      <c r="K45" s="16">
        <v>7.9</v>
      </c>
      <c r="L45" s="33">
        <f t="shared" si="0"/>
        <v>0.6</v>
      </c>
    </row>
    <row r="46" spans="1:12" x14ac:dyDescent="0.25">
      <c r="A46">
        <v>45</v>
      </c>
      <c r="B46" t="s">
        <v>32</v>
      </c>
      <c r="C46" s="16">
        <v>34.813000000000002</v>
      </c>
      <c r="D46" s="12">
        <v>5</v>
      </c>
      <c r="E46" s="16">
        <v>6.5</v>
      </c>
      <c r="F46" s="16">
        <v>6.7</v>
      </c>
      <c r="G46" s="16">
        <v>33.313000000000002</v>
      </c>
      <c r="H46" s="16">
        <v>17.905000000000001</v>
      </c>
      <c r="I46" s="12">
        <v>2</v>
      </c>
      <c r="J46" s="16">
        <v>7.4</v>
      </c>
      <c r="K46" s="16">
        <v>9</v>
      </c>
      <c r="L46" s="33">
        <f t="shared" si="0"/>
        <v>0.4</v>
      </c>
    </row>
    <row r="47" spans="1:12" x14ac:dyDescent="0.25">
      <c r="A47">
        <v>46</v>
      </c>
      <c r="B47" t="s">
        <v>458</v>
      </c>
      <c r="C47" s="16">
        <v>39.1</v>
      </c>
      <c r="D47" s="12">
        <v>5</v>
      </c>
      <c r="E47" s="16">
        <v>7.3</v>
      </c>
      <c r="F47" s="16">
        <v>7.3</v>
      </c>
      <c r="G47" s="16">
        <v>36.724999999999994</v>
      </c>
      <c r="H47" s="16">
        <v>24.713999999999999</v>
      </c>
      <c r="I47" s="12">
        <v>3</v>
      </c>
      <c r="J47" s="16">
        <v>7.4</v>
      </c>
      <c r="K47" s="16">
        <v>8.1999999999999993</v>
      </c>
      <c r="L47" s="33">
        <f t="shared" si="0"/>
        <v>0.6</v>
      </c>
    </row>
    <row r="48" spans="1:12" x14ac:dyDescent="0.25">
      <c r="A48">
        <v>47</v>
      </c>
      <c r="B48" t="s">
        <v>455</v>
      </c>
      <c r="C48" s="16">
        <v>25.056000000000001</v>
      </c>
      <c r="D48" s="12">
        <v>3</v>
      </c>
      <c r="E48" s="16">
        <v>7.5</v>
      </c>
      <c r="F48" s="16">
        <v>8.1</v>
      </c>
      <c r="G48" s="16">
        <v>24.306000000000001</v>
      </c>
      <c r="H48" s="16">
        <v>17.503</v>
      </c>
      <c r="I48" s="12">
        <v>2</v>
      </c>
      <c r="J48" s="16">
        <v>7.4</v>
      </c>
      <c r="K48" s="16">
        <v>8.8000000000000007</v>
      </c>
      <c r="L48" s="33">
        <f t="shared" si="0"/>
        <v>0.66666666666666663</v>
      </c>
    </row>
    <row r="49" spans="1:12" x14ac:dyDescent="0.25">
      <c r="A49">
        <v>48</v>
      </c>
      <c r="B49" t="s">
        <v>270</v>
      </c>
      <c r="C49" s="16">
        <v>40.541999999999994</v>
      </c>
      <c r="D49" s="12">
        <v>5</v>
      </c>
      <c r="E49" s="16">
        <v>7.6</v>
      </c>
      <c r="F49" s="16">
        <v>8</v>
      </c>
      <c r="G49" s="16">
        <v>39.916999999999994</v>
      </c>
      <c r="H49" s="16">
        <v>39.916999999999994</v>
      </c>
      <c r="I49" s="12">
        <v>5</v>
      </c>
      <c r="J49" s="16">
        <v>7.4</v>
      </c>
      <c r="K49" s="16">
        <v>8</v>
      </c>
      <c r="L49" s="33">
        <f t="shared" si="0"/>
        <v>1</v>
      </c>
    </row>
    <row r="50" spans="1:12" x14ac:dyDescent="0.25">
      <c r="A50">
        <v>49</v>
      </c>
      <c r="B50" t="s">
        <v>1175</v>
      </c>
      <c r="C50" s="16">
        <v>25.789000000000001</v>
      </c>
      <c r="D50" s="12">
        <v>3</v>
      </c>
      <c r="E50" s="16">
        <v>7.8</v>
      </c>
      <c r="F50" s="16">
        <v>8.5</v>
      </c>
      <c r="G50" s="16">
        <v>25.414000000000001</v>
      </c>
      <c r="H50" s="16">
        <v>25.414000000000001</v>
      </c>
      <c r="I50" s="12">
        <v>3</v>
      </c>
      <c r="J50" s="16">
        <v>7.4</v>
      </c>
      <c r="K50" s="16">
        <v>8.5</v>
      </c>
      <c r="L50" s="33">
        <f t="shared" si="0"/>
        <v>1</v>
      </c>
    </row>
    <row r="51" spans="1:12" x14ac:dyDescent="0.25">
      <c r="A51">
        <v>50</v>
      </c>
      <c r="B51" t="s">
        <v>788</v>
      </c>
      <c r="C51" s="16">
        <v>32.509</v>
      </c>
      <c r="D51" s="12">
        <v>4</v>
      </c>
      <c r="E51" s="16">
        <v>7.5</v>
      </c>
      <c r="F51" s="16">
        <v>7.5</v>
      </c>
      <c r="G51" s="16">
        <v>30.009</v>
      </c>
      <c r="H51" s="16">
        <v>23.808</v>
      </c>
      <c r="I51" s="12">
        <v>3</v>
      </c>
      <c r="J51" s="16">
        <v>7.4</v>
      </c>
      <c r="K51" s="16">
        <v>7.9</v>
      </c>
      <c r="L51" s="33">
        <f t="shared" si="0"/>
        <v>0.75</v>
      </c>
    </row>
    <row r="52" spans="1:12" x14ac:dyDescent="0.25">
      <c r="A52">
        <v>51</v>
      </c>
      <c r="B52" t="s">
        <v>46</v>
      </c>
      <c r="C52" s="16">
        <v>48.218999999999994</v>
      </c>
      <c r="D52" s="12">
        <v>8</v>
      </c>
      <c r="E52" s="16">
        <v>7</v>
      </c>
      <c r="F52" s="16">
        <v>5.3</v>
      </c>
      <c r="G52" s="16">
        <v>42.218999999999994</v>
      </c>
      <c r="H52" s="16">
        <v>23.514000000000003</v>
      </c>
      <c r="I52" s="12">
        <v>3</v>
      </c>
      <c r="J52" s="16">
        <v>7.4</v>
      </c>
      <c r="K52" s="16">
        <v>7.8</v>
      </c>
      <c r="L52" s="33">
        <f t="shared" si="0"/>
        <v>0.375</v>
      </c>
    </row>
    <row r="53" spans="1:12" x14ac:dyDescent="0.25">
      <c r="A53">
        <v>52</v>
      </c>
      <c r="B53" t="s">
        <v>999</v>
      </c>
      <c r="C53" s="16">
        <v>18.185000000000002</v>
      </c>
      <c r="D53" s="12">
        <v>2</v>
      </c>
      <c r="E53" s="16">
        <v>7.8</v>
      </c>
      <c r="F53" s="16">
        <v>8.6999999999999993</v>
      </c>
      <c r="G53" s="16">
        <v>17.310000000000002</v>
      </c>
      <c r="H53" s="16">
        <v>17.310000000000002</v>
      </c>
      <c r="I53" s="12">
        <v>2</v>
      </c>
      <c r="J53" s="16">
        <v>7.3</v>
      </c>
      <c r="K53" s="16">
        <v>8.6999999999999993</v>
      </c>
      <c r="L53" s="33">
        <f t="shared" si="0"/>
        <v>1</v>
      </c>
    </row>
    <row r="54" spans="1:12" x14ac:dyDescent="0.25">
      <c r="A54">
        <v>53</v>
      </c>
      <c r="B54" t="s">
        <v>146</v>
      </c>
      <c r="C54" s="16">
        <v>39.395000000000003</v>
      </c>
      <c r="D54" s="12">
        <v>5</v>
      </c>
      <c r="E54" s="16">
        <v>7.4</v>
      </c>
      <c r="F54" s="16">
        <v>7.5</v>
      </c>
      <c r="G54" s="16">
        <v>37.520000000000003</v>
      </c>
      <c r="H54" s="16">
        <v>25.014000000000003</v>
      </c>
      <c r="I54" s="12">
        <v>3</v>
      </c>
      <c r="J54" s="16">
        <v>7.3</v>
      </c>
      <c r="K54" s="16">
        <v>8.3000000000000007</v>
      </c>
      <c r="L54" s="33">
        <f t="shared" si="0"/>
        <v>0.6</v>
      </c>
    </row>
    <row r="55" spans="1:12" x14ac:dyDescent="0.25">
      <c r="A55">
        <v>54</v>
      </c>
      <c r="B55" t="s">
        <v>59</v>
      </c>
      <c r="C55" s="16">
        <v>44.186999999999998</v>
      </c>
      <c r="D55" s="12">
        <v>6</v>
      </c>
      <c r="E55" s="16">
        <v>8.1999999999999993</v>
      </c>
      <c r="F55" s="16">
        <v>7.1</v>
      </c>
      <c r="G55" s="16">
        <v>42.811999999999998</v>
      </c>
      <c r="H55" s="16">
        <v>31.908000000000001</v>
      </c>
      <c r="I55" s="12">
        <v>4</v>
      </c>
      <c r="J55" s="16">
        <v>7.2</v>
      </c>
      <c r="K55" s="16">
        <v>8</v>
      </c>
      <c r="L55" s="33">
        <f t="shared" si="0"/>
        <v>0.66666666666666663</v>
      </c>
    </row>
    <row r="56" spans="1:12" x14ac:dyDescent="0.25">
      <c r="A56">
        <v>55</v>
      </c>
      <c r="B56" s="10" t="s">
        <v>60</v>
      </c>
      <c r="C56" s="16">
        <v>17.978999999999999</v>
      </c>
      <c r="D56" s="12">
        <v>2</v>
      </c>
      <c r="E56" s="16">
        <v>7.7</v>
      </c>
      <c r="F56" s="16">
        <v>8.6</v>
      </c>
      <c r="G56" s="16">
        <v>17.103999999999999</v>
      </c>
      <c r="H56" s="16">
        <v>17.103999999999999</v>
      </c>
      <c r="I56" s="12">
        <v>2</v>
      </c>
      <c r="J56" s="16">
        <v>7.2</v>
      </c>
      <c r="K56" s="16">
        <v>8.6</v>
      </c>
      <c r="L56" s="33">
        <f t="shared" si="0"/>
        <v>1</v>
      </c>
    </row>
    <row r="57" spans="1:12" x14ac:dyDescent="0.25">
      <c r="A57">
        <v>56</v>
      </c>
      <c r="B57" s="10" t="s">
        <v>53</v>
      </c>
      <c r="C57" s="16">
        <v>38.774999999999991</v>
      </c>
      <c r="D57" s="12">
        <v>5</v>
      </c>
      <c r="E57" s="16">
        <v>7.3</v>
      </c>
      <c r="F57" s="16">
        <v>7.5</v>
      </c>
      <c r="G57" s="16">
        <v>37.524999999999991</v>
      </c>
      <c r="H57" s="16">
        <v>24.714999999999996</v>
      </c>
      <c r="I57" s="12">
        <v>3</v>
      </c>
      <c r="J57" s="16">
        <v>7.2</v>
      </c>
      <c r="K57" s="16">
        <v>8.1999999999999993</v>
      </c>
      <c r="L57" s="33">
        <f t="shared" si="0"/>
        <v>0.6</v>
      </c>
    </row>
    <row r="58" spans="1:12" x14ac:dyDescent="0.25">
      <c r="A58">
        <v>57</v>
      </c>
      <c r="B58" t="s">
        <v>309</v>
      </c>
      <c r="C58" s="16">
        <v>56.125999999999998</v>
      </c>
      <c r="D58" s="12">
        <v>8</v>
      </c>
      <c r="E58" s="16">
        <v>8</v>
      </c>
      <c r="F58" s="16">
        <v>6.9</v>
      </c>
      <c r="G58" s="16">
        <v>55.125999999999998</v>
      </c>
      <c r="H58" s="16">
        <v>39.123999999999995</v>
      </c>
      <c r="I58" s="12">
        <v>5</v>
      </c>
      <c r="J58" s="16">
        <v>7.2</v>
      </c>
      <c r="K58" s="16">
        <v>7.8</v>
      </c>
      <c r="L58" s="33">
        <f t="shared" si="0"/>
        <v>0.625</v>
      </c>
    </row>
    <row r="59" spans="1:12" x14ac:dyDescent="0.25">
      <c r="A59">
        <v>58</v>
      </c>
      <c r="B59" t="s">
        <v>581</v>
      </c>
      <c r="C59" s="16">
        <v>24.661999999999999</v>
      </c>
      <c r="D59" s="4">
        <v>3</v>
      </c>
      <c r="E59" s="16">
        <v>7.4</v>
      </c>
      <c r="F59" s="16">
        <v>7.5</v>
      </c>
      <c r="G59" s="16">
        <v>22.411999999999999</v>
      </c>
      <c r="H59" s="16">
        <v>16.306000000000001</v>
      </c>
      <c r="I59" s="12">
        <v>2</v>
      </c>
      <c r="J59" s="16">
        <v>7.2</v>
      </c>
      <c r="K59" s="16">
        <v>8.1999999999999993</v>
      </c>
      <c r="L59" s="33">
        <f t="shared" si="0"/>
        <v>0.66666666666666663</v>
      </c>
    </row>
    <row r="60" spans="1:12" x14ac:dyDescent="0.25">
      <c r="A60">
        <v>59</v>
      </c>
      <c r="B60" s="10" t="s">
        <v>109</v>
      </c>
      <c r="C60" s="16">
        <v>31.417999999999999</v>
      </c>
      <c r="D60" s="12">
        <v>4</v>
      </c>
      <c r="E60" s="16">
        <v>7.2</v>
      </c>
      <c r="F60" s="16">
        <v>7.2</v>
      </c>
      <c r="G60" s="16">
        <v>28.917999999999999</v>
      </c>
      <c r="H60" s="16">
        <v>16.311999999999998</v>
      </c>
      <c r="I60" s="12">
        <v>2</v>
      </c>
      <c r="J60" s="16">
        <v>7.2</v>
      </c>
      <c r="K60" s="16">
        <v>8.1999999999999993</v>
      </c>
      <c r="L60" s="33">
        <f t="shared" si="0"/>
        <v>0.5</v>
      </c>
    </row>
    <row r="61" spans="1:12" x14ac:dyDescent="0.25">
      <c r="A61">
        <v>60</v>
      </c>
      <c r="B61" t="s">
        <v>67</v>
      </c>
      <c r="C61" s="16">
        <v>29.711000000000002</v>
      </c>
      <c r="D61" s="12">
        <v>4</v>
      </c>
      <c r="E61" s="16">
        <v>6.8</v>
      </c>
      <c r="F61" s="16">
        <v>6.8</v>
      </c>
      <c r="G61" s="16">
        <v>27.211000000000002</v>
      </c>
      <c r="H61" s="16">
        <v>16.810000000000002</v>
      </c>
      <c r="I61" s="12">
        <v>2</v>
      </c>
      <c r="J61" s="16">
        <v>7.2</v>
      </c>
      <c r="K61" s="16">
        <v>8.4</v>
      </c>
      <c r="L61" s="33">
        <f t="shared" si="0"/>
        <v>0.5</v>
      </c>
    </row>
    <row r="62" spans="1:12" x14ac:dyDescent="0.25">
      <c r="A62">
        <v>61</v>
      </c>
      <c r="B62" t="s">
        <v>231</v>
      </c>
      <c r="C62" s="16">
        <v>10.551</v>
      </c>
      <c r="D62" s="12">
        <v>1</v>
      </c>
      <c r="E62" s="16">
        <v>8.1</v>
      </c>
      <c r="F62" s="16">
        <v>9.8000000000000007</v>
      </c>
      <c r="G62" s="16">
        <v>9.8010000000000002</v>
      </c>
      <c r="H62" s="16">
        <v>9.8010000000000002</v>
      </c>
      <c r="I62" s="12">
        <v>1</v>
      </c>
      <c r="J62" s="16">
        <v>7.1</v>
      </c>
      <c r="K62" s="16">
        <v>9.8000000000000007</v>
      </c>
      <c r="L62" s="33">
        <f t="shared" si="0"/>
        <v>1</v>
      </c>
    </row>
    <row r="63" spans="1:12" x14ac:dyDescent="0.25">
      <c r="A63">
        <v>62</v>
      </c>
      <c r="B63" t="s">
        <v>651</v>
      </c>
      <c r="C63" s="16">
        <v>24.836000000000002</v>
      </c>
      <c r="D63" s="12">
        <v>3</v>
      </c>
      <c r="E63" s="16">
        <v>7.4</v>
      </c>
      <c r="F63" s="16">
        <v>8.1999999999999993</v>
      </c>
      <c r="G63" s="16">
        <v>24.711000000000002</v>
      </c>
      <c r="H63" s="16">
        <v>24.711000000000002</v>
      </c>
      <c r="I63" s="12">
        <v>3</v>
      </c>
      <c r="J63" s="16">
        <v>7.1</v>
      </c>
      <c r="K63" s="16">
        <v>8.1999999999999993</v>
      </c>
      <c r="L63" s="33">
        <f t="shared" si="0"/>
        <v>1</v>
      </c>
    </row>
    <row r="64" spans="1:12" x14ac:dyDescent="0.25">
      <c r="A64">
        <v>63</v>
      </c>
      <c r="B64" s="10" t="s">
        <v>479</v>
      </c>
      <c r="C64" s="16">
        <v>31.338000000000001</v>
      </c>
      <c r="D64" s="12">
        <v>4</v>
      </c>
      <c r="E64" s="16">
        <v>7.2</v>
      </c>
      <c r="F64" s="16">
        <v>7.8</v>
      </c>
      <c r="G64" s="16">
        <v>31.213000000000001</v>
      </c>
      <c r="H64" s="16">
        <v>24.71</v>
      </c>
      <c r="I64" s="12">
        <v>3</v>
      </c>
      <c r="J64" s="16">
        <v>7.1</v>
      </c>
      <c r="K64" s="16">
        <v>8.1999999999999993</v>
      </c>
      <c r="L64" s="33">
        <f t="shared" si="0"/>
        <v>0.75</v>
      </c>
    </row>
    <row r="65" spans="1:12" x14ac:dyDescent="0.25">
      <c r="A65">
        <v>64</v>
      </c>
      <c r="B65" t="s">
        <v>1147</v>
      </c>
      <c r="C65" s="16">
        <v>32.066000000000003</v>
      </c>
      <c r="D65" s="12">
        <v>4</v>
      </c>
      <c r="E65" s="16">
        <v>7.4</v>
      </c>
      <c r="F65" s="16">
        <v>7.8</v>
      </c>
      <c r="G65" s="16">
        <v>31.316000000000003</v>
      </c>
      <c r="H65" s="16">
        <v>31.316000000000003</v>
      </c>
      <c r="I65" s="12">
        <v>4</v>
      </c>
      <c r="J65" s="16">
        <v>7.1</v>
      </c>
      <c r="K65" s="16">
        <v>7.8</v>
      </c>
      <c r="L65" s="33">
        <f t="shared" si="0"/>
        <v>1</v>
      </c>
    </row>
    <row r="66" spans="1:12" x14ac:dyDescent="0.25">
      <c r="A66">
        <v>65</v>
      </c>
      <c r="B66" t="s">
        <v>1176</v>
      </c>
      <c r="C66" s="16">
        <v>17.404</v>
      </c>
      <c r="D66" s="12">
        <v>2</v>
      </c>
      <c r="E66" s="16">
        <v>7.5</v>
      </c>
      <c r="F66" s="16">
        <v>8.6999999999999993</v>
      </c>
      <c r="G66" s="16">
        <v>17.404</v>
      </c>
      <c r="H66" s="16">
        <v>17.404</v>
      </c>
      <c r="I66" s="12">
        <v>2</v>
      </c>
      <c r="J66" s="16">
        <v>7</v>
      </c>
      <c r="K66" s="16">
        <v>8.6999999999999993</v>
      </c>
      <c r="L66" s="33">
        <f t="shared" ref="L66:L129" si="1">I66/D66</f>
        <v>1</v>
      </c>
    </row>
    <row r="67" spans="1:12" x14ac:dyDescent="0.25">
      <c r="A67">
        <v>66</v>
      </c>
      <c r="B67" t="s">
        <v>400</v>
      </c>
      <c r="C67" s="16">
        <v>23.756999999999998</v>
      </c>
      <c r="D67" s="12">
        <v>3</v>
      </c>
      <c r="E67" s="16">
        <v>7.1</v>
      </c>
      <c r="F67" s="16">
        <v>7.8</v>
      </c>
      <c r="G67" s="16">
        <v>23.506999999999998</v>
      </c>
      <c r="H67" s="16">
        <v>17.405999999999999</v>
      </c>
      <c r="I67" s="12">
        <v>2</v>
      </c>
      <c r="J67" s="16">
        <v>7</v>
      </c>
      <c r="K67" s="16">
        <v>8.6999999999999993</v>
      </c>
      <c r="L67" s="33">
        <f t="shared" si="1"/>
        <v>0.66666666666666663</v>
      </c>
    </row>
    <row r="68" spans="1:12" x14ac:dyDescent="0.25">
      <c r="A68">
        <v>67</v>
      </c>
      <c r="B68" t="s">
        <v>338</v>
      </c>
      <c r="C68" s="16">
        <v>25.19</v>
      </c>
      <c r="D68" s="12">
        <v>4</v>
      </c>
      <c r="E68" s="16">
        <v>5.7</v>
      </c>
      <c r="F68" s="16">
        <v>6.2</v>
      </c>
      <c r="G68" s="16">
        <v>24.815000000000001</v>
      </c>
      <c r="H68" s="16">
        <v>17.209</v>
      </c>
      <c r="I68" s="12">
        <v>2</v>
      </c>
      <c r="J68" s="16">
        <v>7</v>
      </c>
      <c r="K68" s="16">
        <v>8.6</v>
      </c>
      <c r="L68" s="33">
        <f t="shared" si="1"/>
        <v>0.5</v>
      </c>
    </row>
    <row r="69" spans="1:12" x14ac:dyDescent="0.25">
      <c r="A69">
        <v>68</v>
      </c>
      <c r="B69" t="s">
        <v>1152</v>
      </c>
      <c r="C69" s="16">
        <v>35.564</v>
      </c>
      <c r="D69" s="12">
        <v>5</v>
      </c>
      <c r="E69" s="16">
        <v>6.6</v>
      </c>
      <c r="F69" s="16">
        <v>6.9</v>
      </c>
      <c r="G69" s="16">
        <v>34.314</v>
      </c>
      <c r="H69" s="16">
        <v>16.907</v>
      </c>
      <c r="I69" s="12">
        <v>2</v>
      </c>
      <c r="J69" s="16">
        <v>7</v>
      </c>
      <c r="K69" s="16">
        <v>8.5</v>
      </c>
      <c r="L69" s="33">
        <f t="shared" si="1"/>
        <v>0.4</v>
      </c>
    </row>
    <row r="70" spans="1:12" x14ac:dyDescent="0.25">
      <c r="A70">
        <v>69</v>
      </c>
      <c r="B70" t="s">
        <v>508</v>
      </c>
      <c r="C70" s="16">
        <v>31.071000000000005</v>
      </c>
      <c r="D70" s="12">
        <v>4</v>
      </c>
      <c r="E70" s="16">
        <v>7.1</v>
      </c>
      <c r="F70" s="16">
        <v>7.5</v>
      </c>
      <c r="G70" s="16">
        <v>29.821000000000005</v>
      </c>
      <c r="H70" s="16">
        <v>24.020000000000003</v>
      </c>
      <c r="I70" s="12">
        <v>3</v>
      </c>
      <c r="J70" s="16">
        <v>7</v>
      </c>
      <c r="K70" s="16">
        <v>8</v>
      </c>
      <c r="L70" s="33">
        <f t="shared" si="1"/>
        <v>0.75</v>
      </c>
    </row>
    <row r="71" spans="1:12" x14ac:dyDescent="0.25">
      <c r="A71">
        <v>70</v>
      </c>
      <c r="B71" t="s">
        <v>777</v>
      </c>
      <c r="C71" s="16">
        <v>32.314999999999998</v>
      </c>
      <c r="D71" s="12">
        <v>4</v>
      </c>
      <c r="E71" s="16">
        <v>7.5</v>
      </c>
      <c r="F71" s="16">
        <v>7.3</v>
      </c>
      <c r="G71" s="16">
        <v>29.315000000000001</v>
      </c>
      <c r="H71" s="16">
        <v>22.314</v>
      </c>
      <c r="I71" s="12">
        <v>3</v>
      </c>
      <c r="J71" s="16">
        <v>7</v>
      </c>
      <c r="K71" s="16">
        <v>7.4</v>
      </c>
      <c r="L71" s="33">
        <f t="shared" si="1"/>
        <v>0.75</v>
      </c>
    </row>
    <row r="72" spans="1:12" x14ac:dyDescent="0.25">
      <c r="A72">
        <v>71</v>
      </c>
      <c r="B72" t="s">
        <v>129</v>
      </c>
      <c r="C72" s="16">
        <v>28.684999999999999</v>
      </c>
      <c r="D72" s="12">
        <v>4</v>
      </c>
      <c r="E72" s="16">
        <v>6.5</v>
      </c>
      <c r="F72" s="16">
        <v>6.7</v>
      </c>
      <c r="G72" s="16">
        <v>26.81</v>
      </c>
      <c r="H72" s="16">
        <v>9.6020000000000003</v>
      </c>
      <c r="I72" s="12">
        <v>1</v>
      </c>
      <c r="J72" s="16">
        <v>6.9</v>
      </c>
      <c r="K72" s="16">
        <v>9.6</v>
      </c>
      <c r="L72" s="33">
        <f t="shared" si="1"/>
        <v>0.25</v>
      </c>
    </row>
    <row r="73" spans="1:12" x14ac:dyDescent="0.25">
      <c r="A73">
        <v>72</v>
      </c>
      <c r="B73" t="s">
        <v>958</v>
      </c>
      <c r="C73" s="16">
        <v>23.917000000000002</v>
      </c>
      <c r="D73" s="12">
        <v>3</v>
      </c>
      <c r="E73" s="16">
        <v>7.1</v>
      </c>
      <c r="F73" s="16">
        <v>7.6</v>
      </c>
      <c r="G73" s="16">
        <v>22.917000000000002</v>
      </c>
      <c r="H73" s="16">
        <v>17.012</v>
      </c>
      <c r="I73" s="12">
        <v>2</v>
      </c>
      <c r="J73" s="16">
        <v>6.9</v>
      </c>
      <c r="K73" s="16">
        <v>8.5</v>
      </c>
      <c r="L73" s="33">
        <f t="shared" si="1"/>
        <v>0.66666666666666663</v>
      </c>
    </row>
    <row r="74" spans="1:12" x14ac:dyDescent="0.25">
      <c r="A74">
        <v>73</v>
      </c>
      <c r="B74" t="s">
        <v>752</v>
      </c>
      <c r="C74" s="16">
        <v>17.206</v>
      </c>
      <c r="D74" s="12">
        <v>2</v>
      </c>
      <c r="E74" s="16">
        <v>7.4</v>
      </c>
      <c r="F74" s="16">
        <v>8.1</v>
      </c>
      <c r="G74" s="16">
        <v>16.206</v>
      </c>
      <c r="H74" s="16">
        <v>16.206</v>
      </c>
      <c r="I74" s="12">
        <v>2</v>
      </c>
      <c r="J74" s="16">
        <v>6.9</v>
      </c>
      <c r="K74" s="16">
        <v>8.1</v>
      </c>
      <c r="L74" s="33">
        <f t="shared" si="1"/>
        <v>1</v>
      </c>
    </row>
    <row r="75" spans="1:12" x14ac:dyDescent="0.25">
      <c r="A75">
        <v>74</v>
      </c>
      <c r="B75" s="10" t="s">
        <v>768</v>
      </c>
      <c r="C75" s="16">
        <v>17.259</v>
      </c>
      <c r="D75" s="12">
        <v>2</v>
      </c>
      <c r="E75" s="16">
        <v>7.4</v>
      </c>
      <c r="F75" s="16">
        <v>8.5</v>
      </c>
      <c r="G75" s="16">
        <v>17.009</v>
      </c>
      <c r="H75" s="16">
        <v>17.009</v>
      </c>
      <c r="I75" s="12">
        <v>2</v>
      </c>
      <c r="J75" s="16">
        <v>6.9</v>
      </c>
      <c r="K75" s="16">
        <v>8.5</v>
      </c>
      <c r="L75" s="33">
        <f t="shared" si="1"/>
        <v>1</v>
      </c>
    </row>
    <row r="76" spans="1:12" x14ac:dyDescent="0.25">
      <c r="A76">
        <v>75</v>
      </c>
      <c r="B76" t="s">
        <v>510</v>
      </c>
      <c r="C76" s="16">
        <v>23.259</v>
      </c>
      <c r="D76" s="12">
        <v>3</v>
      </c>
      <c r="E76" s="16">
        <v>6.9</v>
      </c>
      <c r="F76" s="16">
        <v>7.7</v>
      </c>
      <c r="G76" s="16">
        <v>23.009</v>
      </c>
      <c r="H76" s="16">
        <v>17.207999999999998</v>
      </c>
      <c r="I76" s="12">
        <v>2</v>
      </c>
      <c r="J76" s="16">
        <v>6.9</v>
      </c>
      <c r="K76" s="16">
        <v>8.6</v>
      </c>
      <c r="L76" s="33">
        <f t="shared" si="1"/>
        <v>0.66666666666666663</v>
      </c>
    </row>
    <row r="77" spans="1:12" x14ac:dyDescent="0.25">
      <c r="A77">
        <v>76</v>
      </c>
      <c r="B77" s="10" t="s">
        <v>567</v>
      </c>
      <c r="C77" s="16">
        <v>24.437999999999999</v>
      </c>
      <c r="D77" s="12">
        <v>3</v>
      </c>
      <c r="E77" s="16">
        <v>7.3</v>
      </c>
      <c r="F77" s="16">
        <v>7.9</v>
      </c>
      <c r="G77" s="16">
        <v>23.812999999999999</v>
      </c>
      <c r="H77" s="16">
        <v>16.91</v>
      </c>
      <c r="I77" s="12">
        <v>2</v>
      </c>
      <c r="J77" s="16">
        <v>6.9</v>
      </c>
      <c r="K77" s="16">
        <v>8.5</v>
      </c>
      <c r="L77" s="33">
        <f t="shared" si="1"/>
        <v>0.66666666666666663</v>
      </c>
    </row>
    <row r="78" spans="1:12" x14ac:dyDescent="0.25">
      <c r="A78">
        <v>77</v>
      </c>
      <c r="B78" t="s">
        <v>518</v>
      </c>
      <c r="C78" s="16">
        <v>17.209</v>
      </c>
      <c r="D78" s="12">
        <v>2</v>
      </c>
      <c r="E78" s="16">
        <v>7.4</v>
      </c>
      <c r="F78" s="16">
        <v>8.6</v>
      </c>
      <c r="G78" s="16">
        <v>17.209</v>
      </c>
      <c r="H78" s="16">
        <v>17.209</v>
      </c>
      <c r="I78" s="12">
        <v>2</v>
      </c>
      <c r="J78" s="16">
        <v>6.9</v>
      </c>
      <c r="K78" s="16">
        <v>8.6</v>
      </c>
      <c r="L78" s="33">
        <f t="shared" si="1"/>
        <v>1</v>
      </c>
    </row>
    <row r="79" spans="1:12" x14ac:dyDescent="0.25">
      <c r="A79">
        <v>78</v>
      </c>
      <c r="B79" t="s">
        <v>578</v>
      </c>
      <c r="C79" s="16">
        <v>36.518999999999998</v>
      </c>
      <c r="D79" s="12">
        <v>5</v>
      </c>
      <c r="E79" s="16">
        <v>6.8</v>
      </c>
      <c r="F79" s="16">
        <v>7.1</v>
      </c>
      <c r="G79" s="16">
        <v>35.518999999999998</v>
      </c>
      <c r="H79" s="16">
        <v>23.311999999999998</v>
      </c>
      <c r="I79" s="12">
        <v>3</v>
      </c>
      <c r="J79" s="16">
        <v>6.9</v>
      </c>
      <c r="K79" s="16">
        <v>7.8</v>
      </c>
      <c r="L79" s="33">
        <f t="shared" si="1"/>
        <v>0.6</v>
      </c>
    </row>
    <row r="80" spans="1:12" x14ac:dyDescent="0.25">
      <c r="A80">
        <v>79</v>
      </c>
      <c r="B80" t="s">
        <v>1061</v>
      </c>
      <c r="C80" s="16">
        <v>17.309999999999999</v>
      </c>
      <c r="D80" s="12">
        <v>2</v>
      </c>
      <c r="E80" s="16">
        <v>7.4</v>
      </c>
      <c r="F80" s="16">
        <v>7.9</v>
      </c>
      <c r="G80" s="16">
        <v>15.809999999999999</v>
      </c>
      <c r="H80" s="16">
        <v>15.809999999999999</v>
      </c>
      <c r="I80" s="12">
        <v>2</v>
      </c>
      <c r="J80" s="16">
        <v>6.9</v>
      </c>
      <c r="K80" s="16">
        <v>7.9</v>
      </c>
      <c r="L80" s="33">
        <f t="shared" si="1"/>
        <v>1</v>
      </c>
    </row>
    <row r="81" spans="1:12" x14ac:dyDescent="0.25">
      <c r="A81">
        <v>80</v>
      </c>
      <c r="B81" s="10" t="s">
        <v>1153</v>
      </c>
      <c r="C81" s="16">
        <v>34.341999999999999</v>
      </c>
      <c r="D81" s="12">
        <v>5</v>
      </c>
      <c r="E81" s="16">
        <v>6.4</v>
      </c>
      <c r="F81" s="16">
        <v>6.7</v>
      </c>
      <c r="G81" s="16">
        <v>33.716999999999999</v>
      </c>
      <c r="H81" s="16">
        <v>16.907</v>
      </c>
      <c r="I81" s="12">
        <v>2</v>
      </c>
      <c r="J81" s="16">
        <v>6.8</v>
      </c>
      <c r="K81" s="16">
        <v>8.5</v>
      </c>
      <c r="L81" s="33">
        <f t="shared" si="1"/>
        <v>0.4</v>
      </c>
    </row>
    <row r="82" spans="1:12" x14ac:dyDescent="0.25">
      <c r="A82">
        <v>81</v>
      </c>
      <c r="B82" t="s">
        <v>1156</v>
      </c>
      <c r="C82" s="16">
        <v>30.663999999999998</v>
      </c>
      <c r="D82" s="12">
        <v>4</v>
      </c>
      <c r="E82" s="16">
        <v>7</v>
      </c>
      <c r="F82" s="16">
        <v>7.6</v>
      </c>
      <c r="G82" s="16">
        <v>30.413999999999998</v>
      </c>
      <c r="H82" s="16">
        <v>16.907</v>
      </c>
      <c r="I82" s="12">
        <v>2</v>
      </c>
      <c r="J82" s="16">
        <v>6.8</v>
      </c>
      <c r="K82" s="16">
        <v>8.5</v>
      </c>
      <c r="L82" s="33">
        <f t="shared" si="1"/>
        <v>0.5</v>
      </c>
    </row>
    <row r="83" spans="1:12" x14ac:dyDescent="0.25">
      <c r="A83">
        <v>82</v>
      </c>
      <c r="B83" t="s">
        <v>966</v>
      </c>
      <c r="C83" s="16">
        <v>23.834999999999997</v>
      </c>
      <c r="D83" s="12">
        <v>3</v>
      </c>
      <c r="E83" s="16">
        <v>7.1</v>
      </c>
      <c r="F83" s="16">
        <v>7.7</v>
      </c>
      <c r="G83" s="16">
        <v>23.209999999999997</v>
      </c>
      <c r="H83" s="16">
        <v>23.209999999999997</v>
      </c>
      <c r="I83" s="12">
        <v>3</v>
      </c>
      <c r="J83" s="16">
        <v>6.8</v>
      </c>
      <c r="K83" s="16">
        <v>7.7</v>
      </c>
      <c r="L83" s="33">
        <f t="shared" si="1"/>
        <v>1</v>
      </c>
    </row>
    <row r="84" spans="1:12" x14ac:dyDescent="0.25">
      <c r="A84">
        <v>83</v>
      </c>
      <c r="B84" t="s">
        <v>330</v>
      </c>
      <c r="C84" s="16">
        <v>32.264000000000003</v>
      </c>
      <c r="D84" s="12">
        <v>5</v>
      </c>
      <c r="E84" s="16">
        <v>6</v>
      </c>
      <c r="F84" s="16">
        <v>6.3</v>
      </c>
      <c r="G84" s="16">
        <v>31.514000000000003</v>
      </c>
      <c r="H84" s="16">
        <v>23.213000000000001</v>
      </c>
      <c r="I84" s="12">
        <v>3</v>
      </c>
      <c r="J84" s="16">
        <v>6.7</v>
      </c>
      <c r="K84" s="16">
        <v>7.7</v>
      </c>
      <c r="L84" s="33">
        <f t="shared" si="1"/>
        <v>0.6</v>
      </c>
    </row>
    <row r="85" spans="1:12" x14ac:dyDescent="0.25">
      <c r="A85">
        <v>84</v>
      </c>
      <c r="B85" t="s">
        <v>367</v>
      </c>
      <c r="C85" s="16">
        <v>21.355999999999998</v>
      </c>
      <c r="D85" s="12">
        <v>3</v>
      </c>
      <c r="E85" s="16">
        <v>6.3</v>
      </c>
      <c r="F85" s="16">
        <v>6.9</v>
      </c>
      <c r="G85" s="16">
        <v>20.605999999999998</v>
      </c>
      <c r="H85" s="16">
        <v>16.405999999999999</v>
      </c>
      <c r="I85" s="12">
        <v>2</v>
      </c>
      <c r="J85" s="16">
        <v>6.7</v>
      </c>
      <c r="K85" s="16">
        <v>8.1999999999999993</v>
      </c>
      <c r="L85" s="33">
        <f t="shared" si="1"/>
        <v>0.66666666666666663</v>
      </c>
    </row>
    <row r="86" spans="1:12" x14ac:dyDescent="0.25">
      <c r="A86">
        <v>85</v>
      </c>
      <c r="B86" t="s">
        <v>939</v>
      </c>
      <c r="C86" s="16">
        <v>23.664999999999999</v>
      </c>
      <c r="D86" s="12">
        <v>3</v>
      </c>
      <c r="E86" s="16">
        <v>7.1</v>
      </c>
      <c r="F86" s="16">
        <v>7.6</v>
      </c>
      <c r="G86" s="16">
        <v>22.914999999999999</v>
      </c>
      <c r="H86" s="16">
        <v>16.311999999999998</v>
      </c>
      <c r="I86" s="12">
        <v>2</v>
      </c>
      <c r="J86" s="16">
        <v>6.7</v>
      </c>
      <c r="K86" s="16">
        <v>8.1999999999999993</v>
      </c>
      <c r="L86" s="33">
        <f t="shared" si="1"/>
        <v>0.66666666666666663</v>
      </c>
    </row>
    <row r="87" spans="1:12" x14ac:dyDescent="0.25">
      <c r="A87">
        <v>86</v>
      </c>
      <c r="B87" s="10" t="s">
        <v>190</v>
      </c>
      <c r="C87" s="16">
        <v>16.806000000000001</v>
      </c>
      <c r="D87" s="12">
        <v>2</v>
      </c>
      <c r="E87" s="16">
        <v>7.2</v>
      </c>
      <c r="F87" s="16">
        <v>7.9</v>
      </c>
      <c r="G87" s="16">
        <v>15.806000000000001</v>
      </c>
      <c r="H87" s="16">
        <v>15.806000000000001</v>
      </c>
      <c r="I87" s="12">
        <v>2</v>
      </c>
      <c r="J87" s="16">
        <v>6.7</v>
      </c>
      <c r="K87" s="16">
        <v>7.9</v>
      </c>
      <c r="L87" s="33">
        <f t="shared" si="1"/>
        <v>1</v>
      </c>
    </row>
    <row r="88" spans="1:12" x14ac:dyDescent="0.25">
      <c r="A88">
        <v>87</v>
      </c>
      <c r="B88" t="s">
        <v>58</v>
      </c>
      <c r="C88" s="16">
        <v>10.051</v>
      </c>
      <c r="D88" s="4">
        <v>1</v>
      </c>
      <c r="E88" s="16">
        <v>7.6</v>
      </c>
      <c r="F88" s="16">
        <v>9.3000000000000007</v>
      </c>
      <c r="G88" s="16">
        <v>9.3010000000000002</v>
      </c>
      <c r="H88" s="16">
        <v>9.3010000000000002</v>
      </c>
      <c r="I88" s="12">
        <v>1</v>
      </c>
      <c r="J88" s="16">
        <v>6.6</v>
      </c>
      <c r="K88" s="16">
        <v>9.3000000000000007</v>
      </c>
      <c r="L88" s="33">
        <f t="shared" si="1"/>
        <v>1</v>
      </c>
    </row>
    <row r="89" spans="1:12" x14ac:dyDescent="0.25">
      <c r="A89">
        <v>88</v>
      </c>
      <c r="B89" t="s">
        <v>261</v>
      </c>
      <c r="C89" s="16">
        <v>16.631999999999998</v>
      </c>
      <c r="D89" s="12">
        <v>2</v>
      </c>
      <c r="E89" s="16">
        <v>7.1</v>
      </c>
      <c r="F89" s="16">
        <v>8.3000000000000007</v>
      </c>
      <c r="G89" s="16">
        <v>16.506999999999998</v>
      </c>
      <c r="H89" s="16">
        <v>16.506999999999998</v>
      </c>
      <c r="I89" s="12">
        <v>2</v>
      </c>
      <c r="J89" s="16">
        <v>6.6</v>
      </c>
      <c r="K89" s="16">
        <v>8.3000000000000007</v>
      </c>
      <c r="L89" s="33">
        <f t="shared" si="1"/>
        <v>1</v>
      </c>
    </row>
    <row r="90" spans="1:12" x14ac:dyDescent="0.25">
      <c r="A90">
        <v>89</v>
      </c>
      <c r="B90" t="s">
        <v>526</v>
      </c>
      <c r="C90" s="16">
        <v>23.657000000000004</v>
      </c>
      <c r="D90" s="12">
        <v>3</v>
      </c>
      <c r="E90" s="16">
        <v>7.1</v>
      </c>
      <c r="F90" s="16">
        <v>7.6</v>
      </c>
      <c r="G90" s="16">
        <v>22.907000000000004</v>
      </c>
      <c r="H90" s="16">
        <v>16.106000000000002</v>
      </c>
      <c r="I90" s="12">
        <v>2</v>
      </c>
      <c r="J90" s="16">
        <v>6.6</v>
      </c>
      <c r="K90" s="16">
        <v>8.1</v>
      </c>
      <c r="L90" s="33">
        <f t="shared" si="1"/>
        <v>0.66666666666666663</v>
      </c>
    </row>
    <row r="91" spans="1:12" x14ac:dyDescent="0.25">
      <c r="A91">
        <v>90</v>
      </c>
      <c r="B91" t="s">
        <v>798</v>
      </c>
      <c r="C91" s="16">
        <v>16.605</v>
      </c>
      <c r="D91" s="12">
        <v>2</v>
      </c>
      <c r="E91" s="16">
        <v>7.1</v>
      </c>
      <c r="F91" s="16">
        <v>8.3000000000000007</v>
      </c>
      <c r="G91" s="16">
        <v>16.605</v>
      </c>
      <c r="H91" s="16">
        <v>16.605</v>
      </c>
      <c r="I91" s="12">
        <v>2</v>
      </c>
      <c r="J91" s="16">
        <v>6.6</v>
      </c>
      <c r="K91" s="16">
        <v>8.3000000000000007</v>
      </c>
      <c r="L91" s="33">
        <f t="shared" si="1"/>
        <v>1</v>
      </c>
    </row>
    <row r="92" spans="1:12" x14ac:dyDescent="0.25">
      <c r="A92">
        <v>91</v>
      </c>
      <c r="B92" s="5" t="s">
        <v>1177</v>
      </c>
      <c r="C92" s="16">
        <v>37.169000000000004</v>
      </c>
      <c r="D92" s="12">
        <v>5</v>
      </c>
      <c r="E92" s="16">
        <v>6.9</v>
      </c>
      <c r="F92" s="16">
        <v>7.2</v>
      </c>
      <c r="G92" s="16">
        <v>35.919000000000004</v>
      </c>
      <c r="H92" s="16">
        <v>22.513000000000002</v>
      </c>
      <c r="I92" s="12">
        <v>3</v>
      </c>
      <c r="J92" s="16">
        <v>6.6</v>
      </c>
      <c r="K92" s="16">
        <v>7.5</v>
      </c>
      <c r="L92" s="33">
        <f t="shared" si="1"/>
        <v>0.6</v>
      </c>
    </row>
    <row r="93" spans="1:12" x14ac:dyDescent="0.25">
      <c r="A93">
        <v>92</v>
      </c>
      <c r="B93" t="s">
        <v>21</v>
      </c>
      <c r="C93" s="16">
        <v>17.11</v>
      </c>
      <c r="D93" s="12">
        <v>2</v>
      </c>
      <c r="E93" s="16">
        <v>7.3</v>
      </c>
      <c r="F93" s="16">
        <v>8.1</v>
      </c>
      <c r="G93" s="16">
        <v>16.11</v>
      </c>
      <c r="H93" s="16">
        <v>9.7029999999999994</v>
      </c>
      <c r="I93" s="12">
        <v>1</v>
      </c>
      <c r="J93" s="16">
        <v>6.5</v>
      </c>
      <c r="K93" s="16">
        <v>9.6999999999999993</v>
      </c>
      <c r="L93" s="33">
        <f t="shared" si="1"/>
        <v>0.5</v>
      </c>
    </row>
    <row r="94" spans="1:12" x14ac:dyDescent="0.25">
      <c r="A94">
        <v>93</v>
      </c>
      <c r="B94" t="s">
        <v>537</v>
      </c>
      <c r="C94" s="16">
        <v>9.952</v>
      </c>
      <c r="D94" s="12">
        <v>1</v>
      </c>
      <c r="E94" s="16">
        <v>7.5</v>
      </c>
      <c r="F94" s="16">
        <v>9.1999999999999993</v>
      </c>
      <c r="G94" s="16">
        <v>9.202</v>
      </c>
      <c r="H94" s="16">
        <v>9.202</v>
      </c>
      <c r="I94" s="12">
        <v>1</v>
      </c>
      <c r="J94" s="16">
        <v>6.5</v>
      </c>
      <c r="K94" s="16">
        <v>9.1999999999999993</v>
      </c>
      <c r="L94" s="33">
        <f t="shared" si="1"/>
        <v>1</v>
      </c>
    </row>
    <row r="95" spans="1:12" x14ac:dyDescent="0.25">
      <c r="A95">
        <v>94</v>
      </c>
      <c r="B95" t="s">
        <v>43</v>
      </c>
      <c r="C95" s="16">
        <v>16.555999999999997</v>
      </c>
      <c r="D95" s="12">
        <v>2</v>
      </c>
      <c r="E95" s="16">
        <v>7</v>
      </c>
      <c r="F95" s="16">
        <v>8.1999999999999993</v>
      </c>
      <c r="G95" s="16">
        <v>16.305999999999997</v>
      </c>
      <c r="H95" s="16">
        <v>16.305999999999997</v>
      </c>
      <c r="I95" s="12">
        <v>2</v>
      </c>
      <c r="J95" s="16">
        <v>6.5</v>
      </c>
      <c r="K95" s="16">
        <v>8.1999999999999993</v>
      </c>
      <c r="L95" s="33">
        <f t="shared" si="1"/>
        <v>1</v>
      </c>
    </row>
    <row r="96" spans="1:12" x14ac:dyDescent="0.25">
      <c r="A96">
        <v>95</v>
      </c>
      <c r="B96" s="10" t="s">
        <v>1178</v>
      </c>
      <c r="C96" s="16">
        <v>16.509</v>
      </c>
      <c r="D96" s="12">
        <v>2</v>
      </c>
      <c r="E96" s="16">
        <v>7</v>
      </c>
      <c r="F96" s="16">
        <v>8</v>
      </c>
      <c r="G96" s="16">
        <v>16.009</v>
      </c>
      <c r="H96" s="16">
        <v>16.009</v>
      </c>
      <c r="I96" s="12">
        <v>2</v>
      </c>
      <c r="J96" s="16">
        <v>6.5</v>
      </c>
      <c r="K96" s="16">
        <v>8</v>
      </c>
      <c r="L96" s="33">
        <f t="shared" si="1"/>
        <v>1</v>
      </c>
    </row>
    <row r="97" spans="1:12" x14ac:dyDescent="0.25">
      <c r="A97">
        <v>96</v>
      </c>
      <c r="B97" t="s">
        <v>386</v>
      </c>
      <c r="C97" s="16">
        <v>9.9260000000000002</v>
      </c>
      <c r="D97" s="12">
        <v>1</v>
      </c>
      <c r="E97" s="16">
        <v>7.4</v>
      </c>
      <c r="F97" s="16">
        <v>9.8000000000000007</v>
      </c>
      <c r="G97" s="16">
        <v>9.8010000000000002</v>
      </c>
      <c r="H97" s="16">
        <v>9.8010000000000002</v>
      </c>
      <c r="I97" s="12">
        <v>1</v>
      </c>
      <c r="J97" s="16">
        <v>6.4</v>
      </c>
      <c r="K97" s="16">
        <v>9.8000000000000007</v>
      </c>
      <c r="L97" s="33">
        <f t="shared" si="1"/>
        <v>1</v>
      </c>
    </row>
    <row r="98" spans="1:12" x14ac:dyDescent="0.25">
      <c r="A98">
        <v>97</v>
      </c>
      <c r="B98" t="s">
        <v>240</v>
      </c>
      <c r="C98" s="16">
        <v>9.8520000000000003</v>
      </c>
      <c r="D98" s="12">
        <v>1</v>
      </c>
      <c r="E98" s="16">
        <v>7.4</v>
      </c>
      <c r="F98" s="16">
        <v>9.6</v>
      </c>
      <c r="G98" s="16">
        <v>9.6020000000000003</v>
      </c>
      <c r="H98" s="16">
        <v>9.6020000000000003</v>
      </c>
      <c r="I98" s="12">
        <v>1</v>
      </c>
      <c r="J98" s="16">
        <v>6.4</v>
      </c>
      <c r="K98" s="16">
        <v>9.6</v>
      </c>
      <c r="L98" s="33">
        <f t="shared" si="1"/>
        <v>1</v>
      </c>
    </row>
    <row r="99" spans="1:12" x14ac:dyDescent="0.25">
      <c r="A99">
        <v>98</v>
      </c>
      <c r="B99" t="s">
        <v>1026</v>
      </c>
      <c r="C99" s="16">
        <v>9.8510000000000009</v>
      </c>
      <c r="D99" s="12">
        <v>1</v>
      </c>
      <c r="E99" s="16">
        <v>7.4</v>
      </c>
      <c r="F99" s="16">
        <v>9.6</v>
      </c>
      <c r="G99" s="16">
        <v>9.6010000000000009</v>
      </c>
      <c r="H99" s="16">
        <v>9.6010000000000009</v>
      </c>
      <c r="I99" s="12">
        <v>1</v>
      </c>
      <c r="J99" s="16">
        <v>6.4</v>
      </c>
      <c r="K99" s="16">
        <v>9.6</v>
      </c>
      <c r="L99" s="33">
        <f t="shared" si="1"/>
        <v>1</v>
      </c>
    </row>
    <row r="100" spans="1:12" x14ac:dyDescent="0.25">
      <c r="A100">
        <v>99</v>
      </c>
      <c r="B100" t="s">
        <v>122</v>
      </c>
      <c r="C100" s="16">
        <v>26.707999999999998</v>
      </c>
      <c r="D100" s="12">
        <v>4</v>
      </c>
      <c r="E100" s="16">
        <v>6.1</v>
      </c>
      <c r="F100" s="16">
        <v>6.1</v>
      </c>
      <c r="G100" s="16">
        <v>24.207999999999998</v>
      </c>
      <c r="H100" s="16">
        <v>9.1020000000000003</v>
      </c>
      <c r="I100" s="12">
        <v>1</v>
      </c>
      <c r="J100" s="16">
        <v>6.4</v>
      </c>
      <c r="K100" s="16">
        <v>9.1</v>
      </c>
      <c r="L100" s="33">
        <f t="shared" si="1"/>
        <v>0.25</v>
      </c>
    </row>
    <row r="101" spans="1:12" x14ac:dyDescent="0.25">
      <c r="A101">
        <v>100</v>
      </c>
      <c r="B101" t="s">
        <v>336</v>
      </c>
      <c r="C101" s="16">
        <v>17.711000000000002</v>
      </c>
      <c r="D101" s="12">
        <v>3</v>
      </c>
      <c r="E101" s="16">
        <v>5.0999999999999996</v>
      </c>
      <c r="F101" s="16">
        <v>5.7</v>
      </c>
      <c r="G101" s="16">
        <v>17.211000000000002</v>
      </c>
      <c r="H101" s="16">
        <v>16.111000000000001</v>
      </c>
      <c r="I101" s="12">
        <v>2</v>
      </c>
      <c r="J101" s="16">
        <v>6.4</v>
      </c>
      <c r="K101" s="16">
        <v>8.1</v>
      </c>
      <c r="L101" s="33">
        <f t="shared" si="1"/>
        <v>0.66666666666666663</v>
      </c>
    </row>
    <row r="102" spans="1:12" x14ac:dyDescent="0.25">
      <c r="A102">
        <v>101</v>
      </c>
      <c r="B102" t="s">
        <v>422</v>
      </c>
      <c r="C102" s="16">
        <v>24.037999999999997</v>
      </c>
      <c r="D102" s="12">
        <v>3</v>
      </c>
      <c r="E102" s="16">
        <v>7.2</v>
      </c>
      <c r="F102" s="16">
        <v>7.6</v>
      </c>
      <c r="G102" s="16">
        <v>22.913</v>
      </c>
      <c r="H102" s="16">
        <v>15.909000000000001</v>
      </c>
      <c r="I102" s="12">
        <v>2</v>
      </c>
      <c r="J102" s="16">
        <v>6.4</v>
      </c>
      <c r="K102" s="16">
        <v>8</v>
      </c>
      <c r="L102" s="33">
        <f t="shared" si="1"/>
        <v>0.66666666666666663</v>
      </c>
    </row>
    <row r="103" spans="1:12" x14ac:dyDescent="0.25">
      <c r="A103">
        <v>102</v>
      </c>
      <c r="B103" t="s">
        <v>940</v>
      </c>
      <c r="C103" s="16">
        <v>23.04</v>
      </c>
      <c r="D103" s="12">
        <v>3</v>
      </c>
      <c r="E103" s="16">
        <v>6.8</v>
      </c>
      <c r="F103" s="16">
        <v>7.6</v>
      </c>
      <c r="G103" s="16">
        <v>22.914999999999999</v>
      </c>
      <c r="H103" s="16">
        <v>16.311999999999998</v>
      </c>
      <c r="I103" s="12">
        <v>2</v>
      </c>
      <c r="J103" s="16">
        <v>6.4</v>
      </c>
      <c r="K103" s="16">
        <v>8.1999999999999993</v>
      </c>
      <c r="L103" s="33">
        <f t="shared" si="1"/>
        <v>0.66666666666666663</v>
      </c>
    </row>
    <row r="104" spans="1:12" x14ac:dyDescent="0.25">
      <c r="A104">
        <v>103</v>
      </c>
      <c r="B104" t="s">
        <v>934</v>
      </c>
      <c r="C104" s="16">
        <v>16.285</v>
      </c>
      <c r="D104" s="12">
        <v>2</v>
      </c>
      <c r="E104" s="16">
        <v>6.9</v>
      </c>
      <c r="F104" s="16">
        <v>8</v>
      </c>
      <c r="G104" s="16">
        <v>15.91</v>
      </c>
      <c r="H104" s="16">
        <v>15.91</v>
      </c>
      <c r="I104" s="12">
        <v>2</v>
      </c>
      <c r="J104" s="16">
        <v>6.4</v>
      </c>
      <c r="K104" s="16">
        <v>8</v>
      </c>
      <c r="L104" s="33">
        <f t="shared" si="1"/>
        <v>1</v>
      </c>
    </row>
    <row r="105" spans="1:12" x14ac:dyDescent="0.25">
      <c r="A105">
        <v>104</v>
      </c>
      <c r="B105" t="s">
        <v>92</v>
      </c>
      <c r="C105" s="16">
        <v>16.309999999999999</v>
      </c>
      <c r="D105" s="12">
        <v>2</v>
      </c>
      <c r="E105" s="16">
        <v>6.9</v>
      </c>
      <c r="F105" s="16">
        <v>7.7</v>
      </c>
      <c r="G105" s="16">
        <v>15.309999999999999</v>
      </c>
      <c r="H105" s="16">
        <v>15.309999999999999</v>
      </c>
      <c r="I105" s="12">
        <v>2</v>
      </c>
      <c r="J105" s="16">
        <v>6.4</v>
      </c>
      <c r="K105" s="16">
        <v>7.7</v>
      </c>
      <c r="L105" s="33">
        <f t="shared" si="1"/>
        <v>1</v>
      </c>
    </row>
    <row r="106" spans="1:12" x14ac:dyDescent="0.25">
      <c r="A106">
        <v>105</v>
      </c>
      <c r="B106" t="s">
        <v>1062</v>
      </c>
      <c r="C106" s="16">
        <v>16.309999999999999</v>
      </c>
      <c r="D106" s="12">
        <v>2</v>
      </c>
      <c r="E106" s="16">
        <v>6.9</v>
      </c>
      <c r="F106" s="16">
        <v>7.9</v>
      </c>
      <c r="G106" s="16">
        <v>15.809999999999999</v>
      </c>
      <c r="H106" s="16">
        <v>15.809999999999999</v>
      </c>
      <c r="I106" s="12">
        <v>2</v>
      </c>
      <c r="J106" s="16">
        <v>6.4</v>
      </c>
      <c r="K106" s="16">
        <v>7.9</v>
      </c>
      <c r="L106" s="33">
        <f t="shared" si="1"/>
        <v>1</v>
      </c>
    </row>
    <row r="107" spans="1:12" x14ac:dyDescent="0.25">
      <c r="A107">
        <v>106</v>
      </c>
      <c r="B107" s="10" t="s">
        <v>321</v>
      </c>
      <c r="C107" s="16">
        <v>26.729999999999997</v>
      </c>
      <c r="D107" s="12">
        <v>4</v>
      </c>
      <c r="E107" s="16">
        <v>6.1</v>
      </c>
      <c r="F107" s="16">
        <v>6.5</v>
      </c>
      <c r="G107" s="16">
        <v>26.105</v>
      </c>
      <c r="H107" s="16">
        <v>15.702</v>
      </c>
      <c r="I107" s="12">
        <v>2</v>
      </c>
      <c r="J107" s="16">
        <v>6.4</v>
      </c>
      <c r="K107" s="16">
        <v>7.9</v>
      </c>
      <c r="L107" s="33">
        <f t="shared" si="1"/>
        <v>0.5</v>
      </c>
    </row>
    <row r="108" spans="1:12" x14ac:dyDescent="0.25">
      <c r="A108">
        <v>107</v>
      </c>
      <c r="B108" s="5" t="s">
        <v>232</v>
      </c>
      <c r="C108" s="16">
        <v>9.8010000000000002</v>
      </c>
      <c r="D108" s="12">
        <v>1</v>
      </c>
      <c r="E108" s="16">
        <v>7.3</v>
      </c>
      <c r="F108" s="16">
        <v>9.8000000000000007</v>
      </c>
      <c r="G108" s="16">
        <v>9.8010000000000002</v>
      </c>
      <c r="H108" s="16">
        <v>9.8010000000000002</v>
      </c>
      <c r="I108" s="12">
        <v>1</v>
      </c>
      <c r="J108" s="16">
        <v>6.3</v>
      </c>
      <c r="K108" s="16">
        <v>9.8000000000000007</v>
      </c>
      <c r="L108" s="33">
        <f t="shared" si="1"/>
        <v>1</v>
      </c>
    </row>
    <row r="109" spans="1:12" x14ac:dyDescent="0.25">
      <c r="A109">
        <v>108</v>
      </c>
      <c r="B109" t="s">
        <v>31</v>
      </c>
      <c r="C109" s="16">
        <v>9.7530000000000001</v>
      </c>
      <c r="D109" s="12">
        <v>1</v>
      </c>
      <c r="E109" s="16">
        <v>7.3</v>
      </c>
      <c r="F109" s="16">
        <v>9.5</v>
      </c>
      <c r="G109" s="16">
        <v>9.5030000000000001</v>
      </c>
      <c r="H109" s="16">
        <v>9.5030000000000001</v>
      </c>
      <c r="I109" s="12">
        <v>1</v>
      </c>
      <c r="J109" s="16">
        <v>6.3</v>
      </c>
      <c r="K109" s="16">
        <v>9.5</v>
      </c>
      <c r="L109" s="33">
        <f t="shared" si="1"/>
        <v>1</v>
      </c>
    </row>
    <row r="110" spans="1:12" x14ac:dyDescent="0.25">
      <c r="A110">
        <v>109</v>
      </c>
      <c r="B110" t="s">
        <v>406</v>
      </c>
      <c r="C110" s="16">
        <v>15.178999999999998</v>
      </c>
      <c r="D110" s="12">
        <v>2</v>
      </c>
      <c r="E110" s="16">
        <v>6.3</v>
      </c>
      <c r="F110" s="16">
        <v>7.4</v>
      </c>
      <c r="G110" s="16">
        <v>14.803999999999998</v>
      </c>
      <c r="H110" s="16">
        <v>9.5009999999999994</v>
      </c>
      <c r="I110" s="12">
        <v>1</v>
      </c>
      <c r="J110" s="16">
        <v>6.3</v>
      </c>
      <c r="K110" s="16">
        <v>9.5</v>
      </c>
      <c r="L110" s="33">
        <f t="shared" si="1"/>
        <v>0.5</v>
      </c>
    </row>
    <row r="111" spans="1:12" x14ac:dyDescent="0.25">
      <c r="A111">
        <v>110</v>
      </c>
      <c r="B111" t="s">
        <v>715</v>
      </c>
      <c r="C111" s="16">
        <v>9.7530000000000001</v>
      </c>
      <c r="D111" s="12">
        <v>1</v>
      </c>
      <c r="E111" s="16">
        <v>7.3</v>
      </c>
      <c r="F111" s="16">
        <v>9</v>
      </c>
      <c r="G111" s="16">
        <v>9.0030000000000001</v>
      </c>
      <c r="H111" s="16">
        <v>9.0030000000000001</v>
      </c>
      <c r="I111" s="12">
        <v>1</v>
      </c>
      <c r="J111" s="16">
        <v>6.3</v>
      </c>
      <c r="K111" s="16">
        <v>9</v>
      </c>
      <c r="L111" s="33">
        <f t="shared" si="1"/>
        <v>1</v>
      </c>
    </row>
    <row r="112" spans="1:12" x14ac:dyDescent="0.25">
      <c r="A112">
        <v>111</v>
      </c>
      <c r="B112" t="s">
        <v>82</v>
      </c>
      <c r="C112" s="16">
        <v>29.738000000000003</v>
      </c>
      <c r="D112" s="12">
        <v>4</v>
      </c>
      <c r="E112" s="16">
        <v>6.8</v>
      </c>
      <c r="F112" s="16">
        <v>7.4</v>
      </c>
      <c r="G112" s="16">
        <v>29.613000000000003</v>
      </c>
      <c r="H112" s="16">
        <v>16.106000000000002</v>
      </c>
      <c r="I112" s="12">
        <v>2</v>
      </c>
      <c r="J112" s="16">
        <v>6.3</v>
      </c>
      <c r="K112" s="16">
        <v>8.1</v>
      </c>
      <c r="L112" s="33">
        <f t="shared" si="1"/>
        <v>0.5</v>
      </c>
    </row>
    <row r="113" spans="1:12" x14ac:dyDescent="0.25">
      <c r="A113">
        <v>112</v>
      </c>
      <c r="B113" t="s">
        <v>28</v>
      </c>
      <c r="C113" s="16">
        <v>16.033999999999999</v>
      </c>
      <c r="D113" s="12">
        <v>2</v>
      </c>
      <c r="E113" s="16">
        <v>6.8</v>
      </c>
      <c r="F113" s="16">
        <v>8</v>
      </c>
      <c r="G113" s="16">
        <v>15.908999999999999</v>
      </c>
      <c r="H113" s="16">
        <v>15.908999999999999</v>
      </c>
      <c r="I113" s="12">
        <v>2</v>
      </c>
      <c r="J113" s="16">
        <v>6.3</v>
      </c>
      <c r="K113" s="16">
        <v>8</v>
      </c>
      <c r="L113" s="33">
        <f t="shared" si="1"/>
        <v>1</v>
      </c>
    </row>
    <row r="114" spans="1:12" x14ac:dyDescent="0.25">
      <c r="A114">
        <v>113</v>
      </c>
      <c r="B114" t="s">
        <v>251</v>
      </c>
      <c r="C114" s="16">
        <v>16.204000000000001</v>
      </c>
      <c r="D114" s="12">
        <v>2</v>
      </c>
      <c r="E114" s="16">
        <v>6.9</v>
      </c>
      <c r="F114" s="16">
        <v>8.1</v>
      </c>
      <c r="G114" s="16">
        <v>16.204000000000001</v>
      </c>
      <c r="H114" s="16">
        <v>9.7029999999999994</v>
      </c>
      <c r="I114" s="12">
        <v>1</v>
      </c>
      <c r="J114" s="16">
        <v>6.2</v>
      </c>
      <c r="K114" s="16">
        <v>9.6999999999999993</v>
      </c>
      <c r="L114" s="33">
        <f t="shared" si="1"/>
        <v>0.5</v>
      </c>
    </row>
    <row r="115" spans="1:12" x14ac:dyDescent="0.25">
      <c r="A115">
        <v>114</v>
      </c>
      <c r="B115" t="s">
        <v>1281</v>
      </c>
      <c r="C115" s="16">
        <v>9.702</v>
      </c>
      <c r="D115" s="4">
        <v>1</v>
      </c>
      <c r="E115" s="16">
        <v>7.2</v>
      </c>
      <c r="F115" s="16">
        <v>9.6999999999999993</v>
      </c>
      <c r="G115" s="16">
        <v>9.702</v>
      </c>
      <c r="H115" s="16">
        <v>9.702</v>
      </c>
      <c r="I115" s="12">
        <v>1</v>
      </c>
      <c r="J115" s="16">
        <v>6.2</v>
      </c>
      <c r="K115" s="16">
        <v>9.6999999999999993</v>
      </c>
      <c r="L115" s="33">
        <f t="shared" si="1"/>
        <v>1</v>
      </c>
    </row>
    <row r="116" spans="1:12" x14ac:dyDescent="0.25">
      <c r="A116">
        <v>115</v>
      </c>
      <c r="B116" t="s">
        <v>241</v>
      </c>
      <c r="C116" s="16">
        <v>9.7270000000000003</v>
      </c>
      <c r="D116" s="12">
        <v>1</v>
      </c>
      <c r="E116" s="16">
        <v>7.2</v>
      </c>
      <c r="F116" s="16">
        <v>9.6</v>
      </c>
      <c r="G116" s="16">
        <v>9.6020000000000003</v>
      </c>
      <c r="H116" s="16">
        <v>9.6020000000000003</v>
      </c>
      <c r="I116" s="12">
        <v>1</v>
      </c>
      <c r="J116" s="16">
        <v>6.2</v>
      </c>
      <c r="K116" s="16">
        <v>9.6</v>
      </c>
      <c r="L116" s="33">
        <f t="shared" si="1"/>
        <v>1</v>
      </c>
    </row>
    <row r="117" spans="1:12" x14ac:dyDescent="0.25">
      <c r="A117">
        <v>116</v>
      </c>
      <c r="B117" t="s">
        <v>1027</v>
      </c>
      <c r="C117" s="16">
        <v>9.7260000000000009</v>
      </c>
      <c r="D117" s="12">
        <v>1</v>
      </c>
      <c r="E117" s="16">
        <v>7.2</v>
      </c>
      <c r="F117" s="16">
        <v>9.6</v>
      </c>
      <c r="G117" s="16">
        <v>9.6010000000000009</v>
      </c>
      <c r="H117" s="16">
        <v>9.6010000000000009</v>
      </c>
      <c r="I117" s="12">
        <v>1</v>
      </c>
      <c r="J117" s="16">
        <v>6.2</v>
      </c>
      <c r="K117" s="16">
        <v>9.6</v>
      </c>
      <c r="L117" s="33">
        <f t="shared" si="1"/>
        <v>1</v>
      </c>
    </row>
    <row r="118" spans="1:12" x14ac:dyDescent="0.25">
      <c r="A118">
        <v>117</v>
      </c>
      <c r="B118" t="s">
        <v>248</v>
      </c>
      <c r="C118" s="16">
        <v>15.478999999999999</v>
      </c>
      <c r="D118" s="12">
        <v>2</v>
      </c>
      <c r="E118" s="16">
        <v>6.5</v>
      </c>
      <c r="F118" s="16">
        <v>7.6</v>
      </c>
      <c r="G118" s="16">
        <v>15.103999999999999</v>
      </c>
      <c r="H118" s="16">
        <v>9.4019999999999992</v>
      </c>
      <c r="I118" s="12">
        <v>1</v>
      </c>
      <c r="J118" s="16">
        <v>6.2</v>
      </c>
      <c r="K118" s="16">
        <v>9.4</v>
      </c>
      <c r="L118" s="33">
        <f t="shared" si="1"/>
        <v>0.5</v>
      </c>
    </row>
    <row r="119" spans="1:12" x14ac:dyDescent="0.25">
      <c r="A119">
        <v>118</v>
      </c>
      <c r="B119" s="10" t="s">
        <v>667</v>
      </c>
      <c r="C119" s="16">
        <v>9.6509999999999998</v>
      </c>
      <c r="D119" s="12">
        <v>1</v>
      </c>
      <c r="E119" s="16">
        <v>7.2</v>
      </c>
      <c r="F119" s="16">
        <v>9.4</v>
      </c>
      <c r="G119" s="16">
        <v>9.4009999999999998</v>
      </c>
      <c r="H119" s="16">
        <v>9.4009999999999998</v>
      </c>
      <c r="I119" s="12">
        <v>1</v>
      </c>
      <c r="J119" s="16">
        <v>6.2</v>
      </c>
      <c r="K119" s="16">
        <v>9.4</v>
      </c>
      <c r="L119" s="33">
        <f t="shared" si="1"/>
        <v>1</v>
      </c>
    </row>
    <row r="120" spans="1:12" x14ac:dyDescent="0.25">
      <c r="A120">
        <v>119</v>
      </c>
      <c r="B120" t="s">
        <v>490</v>
      </c>
      <c r="C120" s="16">
        <v>14.204000000000001</v>
      </c>
      <c r="D120" s="4">
        <v>2</v>
      </c>
      <c r="E120" s="16">
        <v>5.9</v>
      </c>
      <c r="F120" s="16">
        <v>6.4</v>
      </c>
      <c r="G120" s="16">
        <v>12.704000000000001</v>
      </c>
      <c r="H120" s="16">
        <v>8.9039999999999999</v>
      </c>
      <c r="I120" s="12">
        <v>1</v>
      </c>
      <c r="J120" s="16">
        <v>6.2</v>
      </c>
      <c r="K120" s="16">
        <v>8.9</v>
      </c>
      <c r="L120" s="33">
        <f t="shared" si="1"/>
        <v>0.5</v>
      </c>
    </row>
    <row r="121" spans="1:12" x14ac:dyDescent="0.25">
      <c r="A121">
        <v>120</v>
      </c>
      <c r="B121" s="10" t="s">
        <v>1044</v>
      </c>
      <c r="C121" s="16">
        <v>22.832000000000001</v>
      </c>
      <c r="D121" s="12">
        <v>3</v>
      </c>
      <c r="E121" s="16">
        <v>6.8</v>
      </c>
      <c r="F121" s="16">
        <v>7.6</v>
      </c>
      <c r="G121" s="16">
        <v>22.707000000000001</v>
      </c>
      <c r="H121" s="16">
        <v>15.706000000000001</v>
      </c>
      <c r="I121" s="12">
        <v>2</v>
      </c>
      <c r="J121" s="16">
        <v>6.2</v>
      </c>
      <c r="K121" s="16">
        <v>7.9</v>
      </c>
      <c r="L121" s="33">
        <f t="shared" si="1"/>
        <v>0.66666666666666663</v>
      </c>
    </row>
    <row r="122" spans="1:12" x14ac:dyDescent="0.25">
      <c r="A122">
        <v>121</v>
      </c>
      <c r="B122" t="s">
        <v>988</v>
      </c>
      <c r="C122" s="16">
        <v>22.782000000000004</v>
      </c>
      <c r="D122" s="12">
        <v>3</v>
      </c>
      <c r="E122" s="16">
        <v>6.8</v>
      </c>
      <c r="F122" s="16">
        <v>7.5</v>
      </c>
      <c r="G122" s="16">
        <v>22.407000000000004</v>
      </c>
      <c r="H122" s="16">
        <v>15.606000000000002</v>
      </c>
      <c r="I122" s="12">
        <v>2</v>
      </c>
      <c r="J122" s="16">
        <v>6.2</v>
      </c>
      <c r="K122" s="16">
        <v>7.8</v>
      </c>
      <c r="L122" s="33">
        <f t="shared" si="1"/>
        <v>0.66666666666666663</v>
      </c>
    </row>
    <row r="123" spans="1:12" x14ac:dyDescent="0.25">
      <c r="A123">
        <v>122</v>
      </c>
      <c r="B123" t="s">
        <v>105</v>
      </c>
      <c r="C123" s="16">
        <v>41.524000000000001</v>
      </c>
      <c r="D123" s="12">
        <v>6</v>
      </c>
      <c r="E123" s="16">
        <v>7.8</v>
      </c>
      <c r="F123" s="16">
        <v>6.5</v>
      </c>
      <c r="G123" s="16">
        <v>39.024000000000001</v>
      </c>
      <c r="H123" s="16">
        <v>15.21</v>
      </c>
      <c r="I123" s="12">
        <v>2</v>
      </c>
      <c r="J123" s="16">
        <v>6.2</v>
      </c>
      <c r="K123" s="16">
        <v>7.6</v>
      </c>
      <c r="L123" s="33">
        <f t="shared" si="1"/>
        <v>0.33333333333333331</v>
      </c>
    </row>
    <row r="124" spans="1:12" x14ac:dyDescent="0.25">
      <c r="A124">
        <v>123</v>
      </c>
      <c r="B124" t="s">
        <v>1145</v>
      </c>
      <c r="C124" s="16">
        <v>15.952</v>
      </c>
      <c r="D124" s="12">
        <v>2</v>
      </c>
      <c r="E124" s="16">
        <v>6.7</v>
      </c>
      <c r="F124" s="16">
        <v>7.9</v>
      </c>
      <c r="G124" s="16">
        <v>15.702</v>
      </c>
      <c r="H124" s="16">
        <v>15.702</v>
      </c>
      <c r="I124" s="12">
        <v>2</v>
      </c>
      <c r="J124" s="16">
        <v>6.2</v>
      </c>
      <c r="K124" s="16">
        <v>7.9</v>
      </c>
      <c r="L124" s="33">
        <f t="shared" si="1"/>
        <v>1</v>
      </c>
    </row>
    <row r="125" spans="1:12" x14ac:dyDescent="0.25">
      <c r="A125">
        <v>124</v>
      </c>
      <c r="B125" t="s">
        <v>242</v>
      </c>
      <c r="C125" s="16">
        <v>16.507999999999999</v>
      </c>
      <c r="D125" s="12">
        <v>2</v>
      </c>
      <c r="E125" s="16">
        <v>7</v>
      </c>
      <c r="F125" s="16">
        <v>8.3000000000000007</v>
      </c>
      <c r="G125" s="16">
        <v>16.507999999999999</v>
      </c>
      <c r="H125" s="16">
        <v>9.6020000000000003</v>
      </c>
      <c r="I125" s="12">
        <v>1</v>
      </c>
      <c r="J125" s="16">
        <v>6.1</v>
      </c>
      <c r="K125" s="16">
        <v>9.6</v>
      </c>
      <c r="L125" s="33">
        <f t="shared" si="1"/>
        <v>0.5</v>
      </c>
    </row>
    <row r="126" spans="1:12" x14ac:dyDescent="0.25">
      <c r="A126">
        <v>125</v>
      </c>
      <c r="B126" s="10" t="s">
        <v>1335</v>
      </c>
      <c r="C126" s="16">
        <v>9.6300000000000008</v>
      </c>
      <c r="D126" s="12">
        <v>1</v>
      </c>
      <c r="E126" s="16">
        <v>7.1</v>
      </c>
      <c r="F126" s="16">
        <v>9.5</v>
      </c>
      <c r="G126" s="16">
        <v>9.5050000000000008</v>
      </c>
      <c r="H126" s="16">
        <v>9.5050000000000008</v>
      </c>
      <c r="I126" s="12">
        <v>1</v>
      </c>
      <c r="J126" s="16">
        <v>6.1</v>
      </c>
      <c r="K126" s="16">
        <v>9.5</v>
      </c>
      <c r="L126" s="33">
        <f t="shared" si="1"/>
        <v>1</v>
      </c>
    </row>
    <row r="127" spans="1:12" x14ac:dyDescent="0.25">
      <c r="A127">
        <v>126</v>
      </c>
      <c r="B127" s="5" t="s">
        <v>407</v>
      </c>
      <c r="C127" s="16">
        <v>9.6259999999999994</v>
      </c>
      <c r="D127" s="12">
        <v>1</v>
      </c>
      <c r="E127" s="16">
        <v>7.1</v>
      </c>
      <c r="F127" s="16">
        <v>9.5</v>
      </c>
      <c r="G127" s="16">
        <v>9.5009999999999994</v>
      </c>
      <c r="H127" s="16">
        <v>9.5009999999999994</v>
      </c>
      <c r="I127" s="12">
        <v>1</v>
      </c>
      <c r="J127" s="16">
        <v>6.1</v>
      </c>
      <c r="K127" s="16">
        <v>9.5</v>
      </c>
      <c r="L127" s="33">
        <f t="shared" si="1"/>
        <v>1</v>
      </c>
    </row>
    <row r="128" spans="1:12" x14ac:dyDescent="0.25">
      <c r="A128">
        <v>127</v>
      </c>
      <c r="B128" t="s">
        <v>601</v>
      </c>
      <c r="C128" s="16">
        <v>9.5519999999999996</v>
      </c>
      <c r="D128" s="12">
        <v>1</v>
      </c>
      <c r="E128" s="16">
        <v>7.1</v>
      </c>
      <c r="F128" s="16">
        <v>9.3000000000000007</v>
      </c>
      <c r="G128" s="16">
        <v>9.3019999999999996</v>
      </c>
      <c r="H128" s="16">
        <v>9.3019999999999996</v>
      </c>
      <c r="I128" s="12">
        <v>1</v>
      </c>
      <c r="J128" s="16">
        <v>6.1</v>
      </c>
      <c r="K128" s="16">
        <v>9.3000000000000007</v>
      </c>
      <c r="L128" s="33">
        <f t="shared" si="1"/>
        <v>1</v>
      </c>
    </row>
    <row r="129" spans="1:12" x14ac:dyDescent="0.25">
      <c r="A129">
        <v>128</v>
      </c>
      <c r="B129" t="s">
        <v>399</v>
      </c>
      <c r="C129" s="16">
        <v>21.855</v>
      </c>
      <c r="D129" s="12">
        <v>3</v>
      </c>
      <c r="E129" s="16">
        <v>6.5</v>
      </c>
      <c r="F129" s="16">
        <v>7.2</v>
      </c>
      <c r="G129" s="16">
        <v>21.605</v>
      </c>
      <c r="H129" s="16">
        <v>15.504000000000001</v>
      </c>
      <c r="I129" s="12">
        <v>2</v>
      </c>
      <c r="J129" s="16">
        <v>6.1</v>
      </c>
      <c r="K129" s="16">
        <v>7.8</v>
      </c>
      <c r="L129" s="33">
        <f t="shared" si="1"/>
        <v>0.66666666666666663</v>
      </c>
    </row>
    <row r="130" spans="1:12" x14ac:dyDescent="0.25">
      <c r="A130">
        <v>129</v>
      </c>
      <c r="B130" t="s">
        <v>740</v>
      </c>
      <c r="C130" s="16">
        <v>15.702</v>
      </c>
      <c r="D130" s="12">
        <v>2</v>
      </c>
      <c r="E130" s="16">
        <v>6.6</v>
      </c>
      <c r="F130" s="16">
        <v>7.9</v>
      </c>
      <c r="G130" s="16">
        <v>15.702</v>
      </c>
      <c r="H130" s="16">
        <v>15.702</v>
      </c>
      <c r="I130" s="12">
        <v>2</v>
      </c>
      <c r="J130" s="16">
        <v>6.1</v>
      </c>
      <c r="K130" s="16">
        <v>7.9</v>
      </c>
      <c r="L130" s="33">
        <f t="shared" ref="L130:L193" si="2">I130/D130</f>
        <v>1</v>
      </c>
    </row>
    <row r="131" spans="1:12" x14ac:dyDescent="0.25">
      <c r="A131">
        <v>130</v>
      </c>
      <c r="B131" t="s">
        <v>252</v>
      </c>
      <c r="C131" s="16">
        <v>9.5030000000000001</v>
      </c>
      <c r="D131" s="12">
        <v>1</v>
      </c>
      <c r="E131" s="16">
        <v>7</v>
      </c>
      <c r="F131" s="16">
        <v>9.5</v>
      </c>
      <c r="G131" s="16">
        <v>9.5030000000000001</v>
      </c>
      <c r="H131" s="16">
        <v>9.5030000000000001</v>
      </c>
      <c r="I131" s="12">
        <v>1</v>
      </c>
      <c r="J131" s="16">
        <v>6</v>
      </c>
      <c r="K131" s="16">
        <v>9.5</v>
      </c>
      <c r="L131" s="33">
        <f t="shared" si="2"/>
        <v>1</v>
      </c>
    </row>
    <row r="132" spans="1:12" x14ac:dyDescent="0.25">
      <c r="A132">
        <v>131</v>
      </c>
      <c r="B132" t="s">
        <v>408</v>
      </c>
      <c r="C132" s="16">
        <v>9.5009999999999994</v>
      </c>
      <c r="D132" s="12">
        <v>1</v>
      </c>
      <c r="E132" s="16">
        <v>7</v>
      </c>
      <c r="F132" s="16">
        <v>9.5</v>
      </c>
      <c r="G132" s="16">
        <v>9.5009999999999994</v>
      </c>
      <c r="H132" s="16">
        <v>9.5009999999999994</v>
      </c>
      <c r="I132" s="12">
        <v>1</v>
      </c>
      <c r="J132" s="16">
        <v>6</v>
      </c>
      <c r="K132" s="16">
        <v>9.5</v>
      </c>
      <c r="L132" s="33">
        <f t="shared" si="2"/>
        <v>1</v>
      </c>
    </row>
    <row r="133" spans="1:12" x14ac:dyDescent="0.25">
      <c r="A133">
        <v>132</v>
      </c>
      <c r="B133" t="s">
        <v>272</v>
      </c>
      <c r="C133" s="16">
        <v>15.458</v>
      </c>
      <c r="D133" s="12">
        <v>2</v>
      </c>
      <c r="E133" s="16">
        <v>6.5</v>
      </c>
      <c r="F133" s="16">
        <v>7.6</v>
      </c>
      <c r="G133" s="16">
        <v>15.208</v>
      </c>
      <c r="H133" s="16">
        <v>9.4030000000000005</v>
      </c>
      <c r="I133" s="12">
        <v>1</v>
      </c>
      <c r="J133" s="16">
        <v>6</v>
      </c>
      <c r="K133" s="16">
        <v>9.4</v>
      </c>
      <c r="L133" s="33">
        <f t="shared" si="2"/>
        <v>0.5</v>
      </c>
    </row>
    <row r="134" spans="1:12" x14ac:dyDescent="0.25">
      <c r="A134">
        <v>133</v>
      </c>
      <c r="B134" s="10" t="s">
        <v>469</v>
      </c>
      <c r="C134" s="16">
        <v>9.4529999999999994</v>
      </c>
      <c r="D134" s="12">
        <v>1</v>
      </c>
      <c r="E134" s="16">
        <v>7</v>
      </c>
      <c r="F134" s="16">
        <v>9.1999999999999993</v>
      </c>
      <c r="G134" s="16">
        <v>9.2029999999999994</v>
      </c>
      <c r="H134" s="16">
        <v>9.2029999999999994</v>
      </c>
      <c r="I134" s="12">
        <v>1</v>
      </c>
      <c r="J134" s="16">
        <v>6</v>
      </c>
      <c r="K134" s="16">
        <v>9.1999999999999993</v>
      </c>
      <c r="L134" s="33">
        <f t="shared" si="2"/>
        <v>1</v>
      </c>
    </row>
    <row r="135" spans="1:12" x14ac:dyDescent="0.25">
      <c r="A135">
        <v>134</v>
      </c>
      <c r="B135" t="s">
        <v>792</v>
      </c>
      <c r="C135" s="16">
        <v>16.105</v>
      </c>
      <c r="D135" s="12">
        <v>2</v>
      </c>
      <c r="E135" s="16">
        <v>6.8</v>
      </c>
      <c r="F135" s="16">
        <v>7.6</v>
      </c>
      <c r="G135" s="16">
        <v>15.105</v>
      </c>
      <c r="H135" s="16">
        <v>9.202</v>
      </c>
      <c r="I135" s="12">
        <v>1</v>
      </c>
      <c r="J135" s="16">
        <v>6</v>
      </c>
      <c r="K135" s="16">
        <v>9.1999999999999993</v>
      </c>
      <c r="L135" s="33">
        <f t="shared" si="2"/>
        <v>0.5</v>
      </c>
    </row>
    <row r="136" spans="1:12" x14ac:dyDescent="0.25">
      <c r="A136">
        <v>135</v>
      </c>
      <c r="B136" t="s">
        <v>695</v>
      </c>
      <c r="C136" s="16">
        <v>9.452</v>
      </c>
      <c r="D136" s="12">
        <v>1</v>
      </c>
      <c r="E136" s="16">
        <v>7</v>
      </c>
      <c r="F136" s="16">
        <v>9.1999999999999993</v>
      </c>
      <c r="G136" s="16">
        <v>9.202</v>
      </c>
      <c r="H136" s="16">
        <v>9.202</v>
      </c>
      <c r="I136" s="12">
        <v>1</v>
      </c>
      <c r="J136" s="16">
        <v>6</v>
      </c>
      <c r="K136" s="16">
        <v>9.1999999999999993</v>
      </c>
      <c r="L136" s="33">
        <f t="shared" si="2"/>
        <v>1</v>
      </c>
    </row>
    <row r="137" spans="1:12" x14ac:dyDescent="0.25">
      <c r="A137">
        <v>136</v>
      </c>
      <c r="B137" t="s">
        <v>1038</v>
      </c>
      <c r="C137" s="16">
        <v>9.4510000000000005</v>
      </c>
      <c r="D137" s="12">
        <v>1</v>
      </c>
      <c r="E137" s="16">
        <v>7</v>
      </c>
      <c r="F137" s="16">
        <v>8.6999999999999993</v>
      </c>
      <c r="G137" s="16">
        <v>8.7010000000000005</v>
      </c>
      <c r="H137" s="16">
        <v>8.7010000000000005</v>
      </c>
      <c r="I137" s="12">
        <v>1</v>
      </c>
      <c r="J137" s="16">
        <v>6</v>
      </c>
      <c r="K137" s="16">
        <v>8.6999999999999993</v>
      </c>
      <c r="L137" s="33">
        <f t="shared" si="2"/>
        <v>1</v>
      </c>
    </row>
    <row r="138" spans="1:12" x14ac:dyDescent="0.25">
      <c r="A138">
        <v>137</v>
      </c>
      <c r="B138" t="s">
        <v>25</v>
      </c>
      <c r="C138" s="16">
        <v>15.427999999999999</v>
      </c>
      <c r="D138" s="12">
        <v>2</v>
      </c>
      <c r="E138" s="16">
        <v>6.5</v>
      </c>
      <c r="F138" s="16">
        <v>7.7</v>
      </c>
      <c r="G138" s="16">
        <v>15.302999999999999</v>
      </c>
      <c r="H138" s="16">
        <v>15.302999999999999</v>
      </c>
      <c r="I138" s="12">
        <v>2</v>
      </c>
      <c r="J138" s="16">
        <v>6</v>
      </c>
      <c r="K138" s="16">
        <v>7.7</v>
      </c>
      <c r="L138" s="33">
        <f t="shared" si="2"/>
        <v>1</v>
      </c>
    </row>
    <row r="139" spans="1:12" x14ac:dyDescent="0.25">
      <c r="A139">
        <v>138</v>
      </c>
      <c r="B139" t="s">
        <v>772</v>
      </c>
      <c r="C139" s="16">
        <v>20.533999999999999</v>
      </c>
      <c r="D139" s="12">
        <v>3</v>
      </c>
      <c r="E139" s="16">
        <v>6</v>
      </c>
      <c r="F139" s="16">
        <v>6.8</v>
      </c>
      <c r="G139" s="16">
        <v>20.408999999999999</v>
      </c>
      <c r="H139" s="16">
        <v>9.4039999999999999</v>
      </c>
      <c r="I139" s="12">
        <v>1</v>
      </c>
      <c r="J139" s="16">
        <v>5.9</v>
      </c>
      <c r="K139" s="16">
        <v>9.4</v>
      </c>
      <c r="L139" s="33">
        <f t="shared" si="2"/>
        <v>0.33333333333333331</v>
      </c>
    </row>
    <row r="140" spans="1:12" x14ac:dyDescent="0.25">
      <c r="A140">
        <v>139</v>
      </c>
      <c r="B140" t="s">
        <v>402</v>
      </c>
      <c r="C140" s="16">
        <v>16.556999999999999</v>
      </c>
      <c r="D140" s="12">
        <v>2</v>
      </c>
      <c r="E140" s="16">
        <v>7</v>
      </c>
      <c r="F140" s="16">
        <v>7.9</v>
      </c>
      <c r="G140" s="16">
        <v>15.806999999999999</v>
      </c>
      <c r="H140" s="16">
        <v>9.4009999999999998</v>
      </c>
      <c r="I140" s="12">
        <v>1</v>
      </c>
      <c r="J140" s="16">
        <v>5.9</v>
      </c>
      <c r="K140" s="16">
        <v>9.4</v>
      </c>
      <c r="L140" s="33">
        <f t="shared" si="2"/>
        <v>0.5</v>
      </c>
    </row>
    <row r="141" spans="1:12" x14ac:dyDescent="0.25">
      <c r="A141">
        <v>140</v>
      </c>
      <c r="B141" t="s">
        <v>56</v>
      </c>
      <c r="C141" s="16">
        <v>9.43</v>
      </c>
      <c r="D141" s="12">
        <v>1</v>
      </c>
      <c r="E141" s="16">
        <v>6.9</v>
      </c>
      <c r="F141" s="16">
        <v>9.3000000000000007</v>
      </c>
      <c r="G141" s="16">
        <v>9.3049999999999997</v>
      </c>
      <c r="H141" s="16">
        <v>9.3049999999999997</v>
      </c>
      <c r="I141" s="12">
        <v>1</v>
      </c>
      <c r="J141" s="16">
        <v>5.9</v>
      </c>
      <c r="K141" s="16">
        <v>9.3000000000000007</v>
      </c>
      <c r="L141" s="33">
        <f t="shared" si="2"/>
        <v>1</v>
      </c>
    </row>
    <row r="142" spans="1:12" x14ac:dyDescent="0.25">
      <c r="A142">
        <v>141</v>
      </c>
      <c r="B142" t="s">
        <v>1297</v>
      </c>
      <c r="C142" s="16">
        <v>9.4290000000000003</v>
      </c>
      <c r="D142" s="12">
        <v>1</v>
      </c>
      <c r="E142" s="16">
        <v>6.9</v>
      </c>
      <c r="F142" s="16">
        <v>9.3000000000000007</v>
      </c>
      <c r="G142" s="16">
        <v>9.3040000000000003</v>
      </c>
      <c r="H142" s="16">
        <v>9.3040000000000003</v>
      </c>
      <c r="I142" s="12">
        <v>1</v>
      </c>
      <c r="J142" s="16">
        <v>5.9</v>
      </c>
      <c r="K142" s="16">
        <v>9.3000000000000007</v>
      </c>
      <c r="L142" s="33">
        <f t="shared" si="2"/>
        <v>1</v>
      </c>
    </row>
    <row r="143" spans="1:12" x14ac:dyDescent="0.25">
      <c r="A143">
        <v>142</v>
      </c>
      <c r="B143" t="s">
        <v>74</v>
      </c>
      <c r="C143" s="16">
        <v>15.679000000000002</v>
      </c>
      <c r="D143" s="12">
        <v>2</v>
      </c>
      <c r="E143" s="16">
        <v>6.6</v>
      </c>
      <c r="F143" s="16">
        <v>7.7</v>
      </c>
      <c r="G143" s="16">
        <v>15.304000000000002</v>
      </c>
      <c r="H143" s="16">
        <v>9.3030000000000008</v>
      </c>
      <c r="I143" s="12">
        <v>1</v>
      </c>
      <c r="J143" s="16">
        <v>5.9</v>
      </c>
      <c r="K143" s="16">
        <v>9.3000000000000007</v>
      </c>
      <c r="L143" s="33">
        <f t="shared" si="2"/>
        <v>0.5</v>
      </c>
    </row>
    <row r="144" spans="1:12" x14ac:dyDescent="0.25">
      <c r="A144">
        <v>143</v>
      </c>
      <c r="B144" t="s">
        <v>579</v>
      </c>
      <c r="C144" s="16">
        <v>15.129</v>
      </c>
      <c r="D144" s="12">
        <v>2</v>
      </c>
      <c r="E144" s="16">
        <v>6.3</v>
      </c>
      <c r="F144" s="16">
        <v>7.5</v>
      </c>
      <c r="G144" s="16">
        <v>15.004</v>
      </c>
      <c r="H144" s="16">
        <v>9.3019999999999996</v>
      </c>
      <c r="I144" s="12">
        <v>1</v>
      </c>
      <c r="J144" s="16">
        <v>5.9</v>
      </c>
      <c r="K144" s="16">
        <v>9.3000000000000007</v>
      </c>
      <c r="L144" s="33">
        <f t="shared" si="2"/>
        <v>0.5</v>
      </c>
    </row>
    <row r="145" spans="1:12" x14ac:dyDescent="0.25">
      <c r="A145">
        <v>144</v>
      </c>
      <c r="B145" t="s">
        <v>753</v>
      </c>
      <c r="C145" s="16">
        <v>9.3539999999999992</v>
      </c>
      <c r="D145" s="12">
        <v>1</v>
      </c>
      <c r="E145" s="16">
        <v>6.9</v>
      </c>
      <c r="F145" s="16">
        <v>9.1</v>
      </c>
      <c r="G145" s="16">
        <v>9.1039999999999992</v>
      </c>
      <c r="H145" s="16">
        <v>9.1039999999999992</v>
      </c>
      <c r="I145" s="12">
        <v>1</v>
      </c>
      <c r="J145" s="16">
        <v>5.9</v>
      </c>
      <c r="K145" s="16">
        <v>9.1</v>
      </c>
      <c r="L145" s="33">
        <f t="shared" si="2"/>
        <v>1</v>
      </c>
    </row>
    <row r="146" spans="1:12" x14ac:dyDescent="0.25">
      <c r="A146">
        <v>145</v>
      </c>
      <c r="B146" t="s">
        <v>459</v>
      </c>
      <c r="C146" s="16">
        <v>9.3529999999999998</v>
      </c>
      <c r="D146" s="12">
        <v>1</v>
      </c>
      <c r="E146" s="16">
        <v>6.9</v>
      </c>
      <c r="F146" s="16">
        <v>9.1</v>
      </c>
      <c r="G146" s="16">
        <v>9.1029999999999998</v>
      </c>
      <c r="H146" s="16">
        <v>9.1029999999999998</v>
      </c>
      <c r="I146" s="12">
        <v>1</v>
      </c>
      <c r="J146" s="16">
        <v>5.9</v>
      </c>
      <c r="K146" s="16">
        <v>9.1</v>
      </c>
      <c r="L146" s="33">
        <f t="shared" si="2"/>
        <v>1</v>
      </c>
    </row>
    <row r="147" spans="1:12" x14ac:dyDescent="0.25">
      <c r="A147">
        <v>146</v>
      </c>
      <c r="B147" t="s">
        <v>650</v>
      </c>
      <c r="C147" s="16">
        <v>9.3520000000000003</v>
      </c>
      <c r="D147" s="12">
        <v>1</v>
      </c>
      <c r="E147" s="16">
        <v>6.9</v>
      </c>
      <c r="F147" s="16">
        <v>9.1</v>
      </c>
      <c r="G147" s="16">
        <v>9.1020000000000003</v>
      </c>
      <c r="H147" s="16">
        <v>9.1020000000000003</v>
      </c>
      <c r="I147" s="12">
        <v>1</v>
      </c>
      <c r="J147" s="16">
        <v>5.9</v>
      </c>
      <c r="K147" s="16">
        <v>9.1</v>
      </c>
      <c r="L147" s="33">
        <f t="shared" si="2"/>
        <v>1</v>
      </c>
    </row>
    <row r="148" spans="1:12" x14ac:dyDescent="0.25">
      <c r="A148">
        <v>147</v>
      </c>
      <c r="B148" t="s">
        <v>1266</v>
      </c>
      <c r="C148" s="16">
        <v>9.3529999999999998</v>
      </c>
      <c r="D148" s="12">
        <v>1</v>
      </c>
      <c r="E148" s="16">
        <v>6.9</v>
      </c>
      <c r="F148" s="16">
        <v>8.6</v>
      </c>
      <c r="G148" s="16">
        <v>8.6029999999999998</v>
      </c>
      <c r="H148" s="16">
        <v>8.6029999999999998</v>
      </c>
      <c r="I148" s="12">
        <v>1</v>
      </c>
      <c r="J148" s="16">
        <v>5.9</v>
      </c>
      <c r="K148" s="16">
        <v>8.6</v>
      </c>
      <c r="L148" s="33">
        <f t="shared" si="2"/>
        <v>1</v>
      </c>
    </row>
    <row r="149" spans="1:12" x14ac:dyDescent="0.25">
      <c r="A149">
        <v>148</v>
      </c>
      <c r="B149" s="10" t="s">
        <v>49</v>
      </c>
      <c r="C149" s="16">
        <v>17.652999999999999</v>
      </c>
      <c r="D149" s="12">
        <v>3</v>
      </c>
      <c r="E149" s="16">
        <v>5.0999999999999996</v>
      </c>
      <c r="F149" s="16">
        <v>5.5</v>
      </c>
      <c r="G149" s="16">
        <v>16.402999999999999</v>
      </c>
      <c r="H149" s="16">
        <v>8.6010000000000009</v>
      </c>
      <c r="I149" s="12">
        <v>1</v>
      </c>
      <c r="J149" s="16">
        <v>5.9</v>
      </c>
      <c r="K149" s="16">
        <v>8.6</v>
      </c>
      <c r="L149" s="33">
        <f t="shared" si="2"/>
        <v>0.33333333333333331</v>
      </c>
    </row>
    <row r="150" spans="1:12" x14ac:dyDescent="0.25">
      <c r="A150">
        <v>149</v>
      </c>
      <c r="B150" t="s">
        <v>602</v>
      </c>
      <c r="C150" s="16">
        <v>9.3019999999999996</v>
      </c>
      <c r="D150" s="12">
        <v>1</v>
      </c>
      <c r="E150" s="16">
        <v>6.8</v>
      </c>
      <c r="F150" s="16">
        <v>9.3000000000000007</v>
      </c>
      <c r="G150" s="16">
        <v>9.3019999999999996</v>
      </c>
      <c r="H150" s="16">
        <v>9.3019999999999996</v>
      </c>
      <c r="I150" s="12">
        <v>1</v>
      </c>
      <c r="J150" s="16">
        <v>5.8</v>
      </c>
      <c r="K150" s="16">
        <v>9.3000000000000007</v>
      </c>
      <c r="L150" s="33">
        <f t="shared" si="2"/>
        <v>1</v>
      </c>
    </row>
    <row r="151" spans="1:12" x14ac:dyDescent="0.25">
      <c r="A151">
        <v>150</v>
      </c>
      <c r="B151" t="s">
        <v>249</v>
      </c>
      <c r="C151" s="16">
        <v>9.3290000000000006</v>
      </c>
      <c r="D151" s="12">
        <v>1</v>
      </c>
      <c r="E151" s="16">
        <v>6.8</v>
      </c>
      <c r="F151" s="16">
        <v>9.1999999999999993</v>
      </c>
      <c r="G151" s="16">
        <v>9.2040000000000006</v>
      </c>
      <c r="H151" s="16">
        <v>9.2040000000000006</v>
      </c>
      <c r="I151" s="12">
        <v>1</v>
      </c>
      <c r="J151" s="16">
        <v>5.8</v>
      </c>
      <c r="K151" s="16">
        <v>9.1999999999999993</v>
      </c>
      <c r="L151" s="33">
        <f t="shared" si="2"/>
        <v>1</v>
      </c>
    </row>
    <row r="152" spans="1:12" x14ac:dyDescent="0.25">
      <c r="A152">
        <v>151</v>
      </c>
      <c r="B152" t="s">
        <v>470</v>
      </c>
      <c r="C152" s="16">
        <v>9.3279999999999994</v>
      </c>
      <c r="D152" s="12">
        <v>1</v>
      </c>
      <c r="E152" s="16">
        <v>6.8</v>
      </c>
      <c r="F152" s="16">
        <v>9.1999999999999993</v>
      </c>
      <c r="G152" s="16">
        <v>9.2029999999999994</v>
      </c>
      <c r="H152" s="16">
        <v>9.2029999999999994</v>
      </c>
      <c r="I152" s="12">
        <v>1</v>
      </c>
      <c r="J152" s="16">
        <v>5.8</v>
      </c>
      <c r="K152" s="16">
        <v>9.1999999999999993</v>
      </c>
      <c r="L152" s="33">
        <f t="shared" si="2"/>
        <v>1</v>
      </c>
    </row>
    <row r="153" spans="1:12" x14ac:dyDescent="0.25">
      <c r="A153">
        <v>152</v>
      </c>
      <c r="B153" t="s">
        <v>1319</v>
      </c>
      <c r="C153" s="16">
        <v>9.327</v>
      </c>
      <c r="D153" s="12">
        <v>1</v>
      </c>
      <c r="E153" s="16">
        <v>6.8</v>
      </c>
      <c r="F153" s="16">
        <v>9.1999999999999993</v>
      </c>
      <c r="G153" s="16">
        <v>9.202</v>
      </c>
      <c r="H153" s="16">
        <v>9.202</v>
      </c>
      <c r="I153" s="12">
        <v>1</v>
      </c>
      <c r="J153" s="16">
        <v>5.8</v>
      </c>
      <c r="K153" s="16">
        <v>9.1999999999999993</v>
      </c>
      <c r="L153" s="33">
        <f t="shared" si="2"/>
        <v>1</v>
      </c>
    </row>
    <row r="154" spans="1:12" x14ac:dyDescent="0.25">
      <c r="A154">
        <v>153</v>
      </c>
      <c r="B154" t="s">
        <v>696</v>
      </c>
      <c r="C154" s="16">
        <v>9.327</v>
      </c>
      <c r="D154" s="12">
        <v>1</v>
      </c>
      <c r="E154" s="16">
        <v>6.8</v>
      </c>
      <c r="F154" s="16">
        <v>9.1999999999999993</v>
      </c>
      <c r="G154" s="16">
        <v>9.202</v>
      </c>
      <c r="H154" s="16">
        <v>9.202</v>
      </c>
      <c r="I154" s="12">
        <v>1</v>
      </c>
      <c r="J154" s="16">
        <v>5.8</v>
      </c>
      <c r="K154" s="16">
        <v>9.1999999999999993</v>
      </c>
      <c r="L154" s="33">
        <f t="shared" si="2"/>
        <v>1</v>
      </c>
    </row>
    <row r="155" spans="1:12" x14ac:dyDescent="0.25">
      <c r="A155">
        <v>154</v>
      </c>
      <c r="B155" t="s">
        <v>502</v>
      </c>
      <c r="C155" s="16">
        <v>14.603999999999999</v>
      </c>
      <c r="D155" s="12">
        <v>2</v>
      </c>
      <c r="E155" s="16">
        <v>6.1</v>
      </c>
      <c r="F155" s="16">
        <v>6.8</v>
      </c>
      <c r="G155" s="16">
        <v>13.603999999999999</v>
      </c>
      <c r="H155" s="16">
        <v>9.0039999999999996</v>
      </c>
      <c r="I155" s="12">
        <v>1</v>
      </c>
      <c r="J155" s="16">
        <v>5.8</v>
      </c>
      <c r="K155" s="16">
        <v>9</v>
      </c>
      <c r="L155" s="33">
        <f t="shared" si="2"/>
        <v>0.5</v>
      </c>
    </row>
    <row r="156" spans="1:12" x14ac:dyDescent="0.25">
      <c r="A156">
        <v>155</v>
      </c>
      <c r="B156" s="10" t="s">
        <v>927</v>
      </c>
      <c r="C156" s="16">
        <v>9.2530000000000001</v>
      </c>
      <c r="D156" s="12">
        <v>1</v>
      </c>
      <c r="E156" s="16">
        <v>6.8</v>
      </c>
      <c r="F156" s="16">
        <v>9</v>
      </c>
      <c r="G156" s="16">
        <v>9.0030000000000001</v>
      </c>
      <c r="H156" s="16">
        <v>9.0030000000000001</v>
      </c>
      <c r="I156" s="12">
        <v>1</v>
      </c>
      <c r="J156" s="16">
        <v>5.8</v>
      </c>
      <c r="K156" s="16">
        <v>9</v>
      </c>
      <c r="L156" s="33">
        <f t="shared" si="2"/>
        <v>1</v>
      </c>
    </row>
    <row r="157" spans="1:12" x14ac:dyDescent="0.25">
      <c r="A157">
        <v>156</v>
      </c>
      <c r="B157" t="s">
        <v>1031</v>
      </c>
      <c r="C157" s="16">
        <v>9.2520000000000007</v>
      </c>
      <c r="D157" s="12">
        <v>1</v>
      </c>
      <c r="E157" s="16">
        <v>6.8</v>
      </c>
      <c r="F157" s="16">
        <v>9</v>
      </c>
      <c r="G157" s="16">
        <v>9.0020000000000007</v>
      </c>
      <c r="H157" s="16">
        <v>9.0020000000000007</v>
      </c>
      <c r="I157" s="12">
        <v>1</v>
      </c>
      <c r="J157" s="16">
        <v>5.8</v>
      </c>
      <c r="K157" s="16">
        <v>9</v>
      </c>
      <c r="L157" s="33">
        <f t="shared" si="2"/>
        <v>1</v>
      </c>
    </row>
    <row r="158" spans="1:12" x14ac:dyDescent="0.25">
      <c r="A158">
        <v>157</v>
      </c>
      <c r="B158" t="s">
        <v>299</v>
      </c>
      <c r="C158" s="16">
        <v>9.2550000000000008</v>
      </c>
      <c r="D158" s="12">
        <v>1</v>
      </c>
      <c r="E158" s="16">
        <v>6.8</v>
      </c>
      <c r="F158" s="16">
        <v>8.5</v>
      </c>
      <c r="G158" s="16">
        <v>8.5050000000000008</v>
      </c>
      <c r="H158" s="16">
        <v>8.5050000000000008</v>
      </c>
      <c r="I158" s="12">
        <v>1</v>
      </c>
      <c r="J158" s="16">
        <v>5.8</v>
      </c>
      <c r="K158" s="16">
        <v>8.5</v>
      </c>
      <c r="L158" s="33">
        <f t="shared" si="2"/>
        <v>1</v>
      </c>
    </row>
    <row r="159" spans="1:12" x14ac:dyDescent="0.25">
      <c r="A159">
        <v>158</v>
      </c>
      <c r="B159" s="10" t="s">
        <v>653</v>
      </c>
      <c r="C159" s="16">
        <v>9.2520000000000007</v>
      </c>
      <c r="D159" s="12">
        <v>1</v>
      </c>
      <c r="E159" s="16">
        <v>6.8</v>
      </c>
      <c r="F159" s="16">
        <v>8.5</v>
      </c>
      <c r="G159" s="16">
        <v>8.5020000000000007</v>
      </c>
      <c r="H159" s="16">
        <v>8.5020000000000007</v>
      </c>
      <c r="I159" s="12">
        <v>1</v>
      </c>
      <c r="J159" s="16">
        <v>5.8</v>
      </c>
      <c r="K159" s="16">
        <v>8.5</v>
      </c>
      <c r="L159" s="33">
        <f t="shared" si="2"/>
        <v>1</v>
      </c>
    </row>
    <row r="160" spans="1:12" x14ac:dyDescent="0.25">
      <c r="A160">
        <v>159</v>
      </c>
      <c r="B160" t="s">
        <v>250</v>
      </c>
      <c r="C160" s="16">
        <v>9.2040000000000006</v>
      </c>
      <c r="D160" s="12">
        <v>1</v>
      </c>
      <c r="E160" s="16">
        <v>6.7</v>
      </c>
      <c r="F160" s="16">
        <v>9.1999999999999993</v>
      </c>
      <c r="G160" s="16">
        <v>9.2040000000000006</v>
      </c>
      <c r="H160" s="16">
        <v>9.2040000000000006</v>
      </c>
      <c r="I160" s="12">
        <v>1</v>
      </c>
      <c r="J160" s="16">
        <v>5.7</v>
      </c>
      <c r="K160" s="16">
        <v>9.1999999999999993</v>
      </c>
      <c r="L160" s="33">
        <f t="shared" si="2"/>
        <v>1</v>
      </c>
    </row>
    <row r="161" spans="1:12" x14ac:dyDescent="0.25">
      <c r="A161">
        <v>160</v>
      </c>
      <c r="B161" t="s">
        <v>452</v>
      </c>
      <c r="C161" s="16">
        <v>15.129999999999999</v>
      </c>
      <c r="D161" s="12">
        <v>2</v>
      </c>
      <c r="E161" s="16">
        <v>6.3</v>
      </c>
      <c r="F161" s="16">
        <v>7.5</v>
      </c>
      <c r="G161" s="16">
        <v>15.004999999999999</v>
      </c>
      <c r="H161" s="16">
        <v>9.2029999999999994</v>
      </c>
      <c r="I161" s="12">
        <v>1</v>
      </c>
      <c r="J161" s="16">
        <v>5.7</v>
      </c>
      <c r="K161" s="16">
        <v>9.1999999999999993</v>
      </c>
      <c r="L161" s="33">
        <f t="shared" si="2"/>
        <v>0.5</v>
      </c>
    </row>
    <row r="162" spans="1:12" x14ac:dyDescent="0.25">
      <c r="A162">
        <v>161</v>
      </c>
      <c r="B162" t="s">
        <v>1320</v>
      </c>
      <c r="C162" s="16">
        <v>9.202</v>
      </c>
      <c r="D162" s="12">
        <v>1</v>
      </c>
      <c r="E162" s="16">
        <v>6.7</v>
      </c>
      <c r="F162" s="16">
        <v>9.1999999999999993</v>
      </c>
      <c r="G162" s="16">
        <v>9.202</v>
      </c>
      <c r="H162" s="16">
        <v>9.202</v>
      </c>
      <c r="I162" s="12">
        <v>1</v>
      </c>
      <c r="J162" s="16">
        <v>5.7</v>
      </c>
      <c r="K162" s="16">
        <v>9.1999999999999993</v>
      </c>
      <c r="L162" s="33">
        <f t="shared" si="2"/>
        <v>1</v>
      </c>
    </row>
    <row r="163" spans="1:12" x14ac:dyDescent="0.25">
      <c r="A163">
        <v>162</v>
      </c>
      <c r="B163" s="10" t="s">
        <v>697</v>
      </c>
      <c r="C163" s="16">
        <v>9.202</v>
      </c>
      <c r="D163" s="12">
        <v>1</v>
      </c>
      <c r="E163" s="16">
        <v>6.7</v>
      </c>
      <c r="F163" s="16">
        <v>9.1999999999999993</v>
      </c>
      <c r="G163" s="16">
        <v>9.202</v>
      </c>
      <c r="H163" s="16">
        <v>9.202</v>
      </c>
      <c r="I163" s="12">
        <v>1</v>
      </c>
      <c r="J163" s="16">
        <v>5.7</v>
      </c>
      <c r="K163" s="16">
        <v>9.1999999999999993</v>
      </c>
      <c r="L163" s="33">
        <f t="shared" si="2"/>
        <v>1</v>
      </c>
    </row>
    <row r="164" spans="1:12" x14ac:dyDescent="0.25">
      <c r="A164">
        <v>163</v>
      </c>
      <c r="B164" t="s">
        <v>754</v>
      </c>
      <c r="C164" s="16">
        <v>9.2289999999999992</v>
      </c>
      <c r="D164" s="12">
        <v>1</v>
      </c>
      <c r="E164" s="16">
        <v>6.7</v>
      </c>
      <c r="F164" s="16">
        <v>9.1</v>
      </c>
      <c r="G164" s="16">
        <v>9.1039999999999992</v>
      </c>
      <c r="H164" s="16">
        <v>9.1039999999999992</v>
      </c>
      <c r="I164" s="12">
        <v>1</v>
      </c>
      <c r="J164" s="16">
        <v>5.7</v>
      </c>
      <c r="K164" s="16">
        <v>9.1</v>
      </c>
      <c r="L164" s="33">
        <f t="shared" si="2"/>
        <v>1</v>
      </c>
    </row>
    <row r="165" spans="1:12" x14ac:dyDescent="0.25">
      <c r="A165">
        <v>164</v>
      </c>
      <c r="B165" t="s">
        <v>460</v>
      </c>
      <c r="C165" s="16">
        <v>9.2279999999999998</v>
      </c>
      <c r="D165" s="12">
        <v>1</v>
      </c>
      <c r="E165" s="16">
        <v>6.7</v>
      </c>
      <c r="F165" s="16">
        <v>9.1</v>
      </c>
      <c r="G165" s="16">
        <v>9.1029999999999998</v>
      </c>
      <c r="H165" s="16">
        <v>9.1029999999999998</v>
      </c>
      <c r="I165" s="12">
        <v>1</v>
      </c>
      <c r="J165" s="16">
        <v>5.7</v>
      </c>
      <c r="K165" s="16">
        <v>9.1</v>
      </c>
      <c r="L165" s="33">
        <f t="shared" si="2"/>
        <v>1</v>
      </c>
    </row>
    <row r="166" spans="1:12" x14ac:dyDescent="0.25">
      <c r="A166">
        <v>165</v>
      </c>
      <c r="B166" t="s">
        <v>392</v>
      </c>
      <c r="C166" s="16">
        <v>9.2260000000000009</v>
      </c>
      <c r="D166" s="12">
        <v>1</v>
      </c>
      <c r="E166" s="16">
        <v>6.7</v>
      </c>
      <c r="F166" s="16">
        <v>9.1</v>
      </c>
      <c r="G166" s="16">
        <v>9.1010000000000009</v>
      </c>
      <c r="H166" s="16">
        <v>9.1010000000000009</v>
      </c>
      <c r="I166" s="12">
        <v>1</v>
      </c>
      <c r="J166" s="16">
        <v>5.7</v>
      </c>
      <c r="K166" s="16">
        <v>9.1</v>
      </c>
      <c r="L166" s="33">
        <f t="shared" si="2"/>
        <v>1</v>
      </c>
    </row>
    <row r="167" spans="1:12" x14ac:dyDescent="0.25">
      <c r="A167">
        <v>166</v>
      </c>
      <c r="B167" s="5" t="s">
        <v>987</v>
      </c>
      <c r="C167" s="16">
        <v>22.307000000000002</v>
      </c>
      <c r="D167" s="12">
        <v>3</v>
      </c>
      <c r="E167" s="16">
        <v>6.6</v>
      </c>
      <c r="F167" s="16">
        <v>7.3</v>
      </c>
      <c r="G167" s="16">
        <v>21.807000000000002</v>
      </c>
      <c r="H167" s="16">
        <v>8.9009999999999998</v>
      </c>
      <c r="I167" s="12">
        <v>1</v>
      </c>
      <c r="J167" s="16">
        <v>5.7</v>
      </c>
      <c r="K167" s="16">
        <v>8.9</v>
      </c>
      <c r="L167" s="33">
        <f t="shared" si="2"/>
        <v>0.33333333333333331</v>
      </c>
    </row>
    <row r="168" spans="1:12" x14ac:dyDescent="0.25">
      <c r="A168">
        <v>167</v>
      </c>
      <c r="B168" t="s">
        <v>950</v>
      </c>
      <c r="C168" s="16">
        <v>21.358999999999998</v>
      </c>
      <c r="D168" s="12">
        <v>3</v>
      </c>
      <c r="E168" s="16">
        <v>6.3</v>
      </c>
      <c r="F168" s="16">
        <v>6.9</v>
      </c>
      <c r="G168" s="16">
        <v>20.608999999999998</v>
      </c>
      <c r="H168" s="16">
        <v>14.407999999999999</v>
      </c>
      <c r="I168" s="12">
        <v>2</v>
      </c>
      <c r="J168" s="16">
        <v>5.7</v>
      </c>
      <c r="K168" s="16">
        <v>7.2</v>
      </c>
      <c r="L168" s="33">
        <f t="shared" si="2"/>
        <v>0.66666666666666663</v>
      </c>
    </row>
    <row r="169" spans="1:12" x14ac:dyDescent="0.25">
      <c r="A169">
        <v>168</v>
      </c>
      <c r="B169" t="s">
        <v>755</v>
      </c>
      <c r="C169" s="16">
        <v>9.1039999999999992</v>
      </c>
      <c r="D169" s="12">
        <v>1</v>
      </c>
      <c r="E169" s="16">
        <v>6.6</v>
      </c>
      <c r="F169" s="16">
        <v>9.1</v>
      </c>
      <c r="G169" s="16">
        <v>9.1039999999999992</v>
      </c>
      <c r="H169" s="16">
        <v>9.1039999999999992</v>
      </c>
      <c r="I169" s="12">
        <v>1</v>
      </c>
      <c r="J169" s="16">
        <v>5.6</v>
      </c>
      <c r="K169" s="16">
        <v>9.1</v>
      </c>
      <c r="L169" s="33">
        <f t="shared" si="2"/>
        <v>1</v>
      </c>
    </row>
    <row r="170" spans="1:12" x14ac:dyDescent="0.25">
      <c r="A170">
        <v>169</v>
      </c>
      <c r="B170" s="5" t="s">
        <v>461</v>
      </c>
      <c r="C170" s="16">
        <v>9.1029999999999998</v>
      </c>
      <c r="D170" s="12">
        <v>1</v>
      </c>
      <c r="E170" s="16">
        <v>6.6</v>
      </c>
      <c r="F170" s="16">
        <v>9.1</v>
      </c>
      <c r="G170" s="16">
        <v>9.1029999999999998</v>
      </c>
      <c r="H170" s="16">
        <v>9.1029999999999998</v>
      </c>
      <c r="I170" s="12">
        <v>1</v>
      </c>
      <c r="J170" s="16">
        <v>5.6</v>
      </c>
      <c r="K170" s="16">
        <v>9.1</v>
      </c>
      <c r="L170" s="33">
        <f t="shared" si="2"/>
        <v>1</v>
      </c>
    </row>
    <row r="171" spans="1:12" x14ac:dyDescent="0.25">
      <c r="A171">
        <v>170</v>
      </c>
      <c r="B171" t="s">
        <v>393</v>
      </c>
      <c r="C171" s="16">
        <v>9.1010000000000009</v>
      </c>
      <c r="D171" s="12">
        <v>1</v>
      </c>
      <c r="E171" s="16">
        <v>6.6</v>
      </c>
      <c r="F171" s="16">
        <v>9.1</v>
      </c>
      <c r="G171" s="16">
        <v>9.1010000000000009</v>
      </c>
      <c r="H171" s="16">
        <v>9.1010000000000009</v>
      </c>
      <c r="I171" s="12">
        <v>1</v>
      </c>
      <c r="J171" s="16">
        <v>5.6</v>
      </c>
      <c r="K171" s="16">
        <v>9.1</v>
      </c>
      <c r="L171" s="33">
        <f t="shared" si="2"/>
        <v>1</v>
      </c>
    </row>
    <row r="172" spans="1:12" x14ac:dyDescent="0.25">
      <c r="A172">
        <v>171</v>
      </c>
      <c r="B172" t="s">
        <v>1180</v>
      </c>
      <c r="C172" s="16">
        <v>14.030999999999999</v>
      </c>
      <c r="D172" s="12">
        <v>2</v>
      </c>
      <c r="E172" s="16">
        <v>5.8</v>
      </c>
      <c r="F172" s="16">
        <v>7</v>
      </c>
      <c r="G172" s="16">
        <v>13.905999999999999</v>
      </c>
      <c r="H172" s="16">
        <v>9.0039999999999996</v>
      </c>
      <c r="I172" s="12">
        <v>1</v>
      </c>
      <c r="J172" s="16">
        <v>5.6</v>
      </c>
      <c r="K172" s="16">
        <v>9</v>
      </c>
      <c r="L172" s="33">
        <f t="shared" si="2"/>
        <v>0.5</v>
      </c>
    </row>
    <row r="173" spans="1:12" x14ac:dyDescent="0.25">
      <c r="A173">
        <v>172</v>
      </c>
      <c r="B173" t="s">
        <v>1032</v>
      </c>
      <c r="C173" s="16">
        <v>9.1270000000000007</v>
      </c>
      <c r="D173" s="12">
        <v>1</v>
      </c>
      <c r="E173" s="16">
        <v>6.6</v>
      </c>
      <c r="F173" s="16">
        <v>9</v>
      </c>
      <c r="G173" s="16">
        <v>9.0020000000000007</v>
      </c>
      <c r="H173" s="16">
        <v>9.0020000000000007</v>
      </c>
      <c r="I173" s="12">
        <v>1</v>
      </c>
      <c r="J173" s="16">
        <v>5.6</v>
      </c>
      <c r="K173" s="16">
        <v>9</v>
      </c>
      <c r="L173" s="33">
        <f t="shared" si="2"/>
        <v>1</v>
      </c>
    </row>
    <row r="174" spans="1:12" x14ac:dyDescent="0.25">
      <c r="A174">
        <v>173</v>
      </c>
      <c r="B174" t="s">
        <v>604</v>
      </c>
      <c r="C174" s="16">
        <v>9.0039999999999996</v>
      </c>
      <c r="D174" s="12">
        <v>1</v>
      </c>
      <c r="E174" s="16">
        <v>6.5</v>
      </c>
      <c r="F174" s="16">
        <v>9</v>
      </c>
      <c r="G174" s="16">
        <v>9.0039999999999996</v>
      </c>
      <c r="H174" s="16">
        <v>9.0039999999999996</v>
      </c>
      <c r="I174" s="12">
        <v>1</v>
      </c>
      <c r="J174" s="16">
        <v>5.5</v>
      </c>
      <c r="K174" s="16">
        <v>9</v>
      </c>
      <c r="L174" s="33">
        <f t="shared" si="2"/>
        <v>1</v>
      </c>
    </row>
    <row r="175" spans="1:12" x14ac:dyDescent="0.25">
      <c r="A175">
        <v>174</v>
      </c>
      <c r="B175" t="s">
        <v>926</v>
      </c>
      <c r="C175" s="16">
        <v>9.0030000000000001</v>
      </c>
      <c r="D175" s="12">
        <v>1</v>
      </c>
      <c r="E175" s="16">
        <v>6.5</v>
      </c>
      <c r="F175" s="16">
        <v>9</v>
      </c>
      <c r="G175" s="16">
        <v>9.0030000000000001</v>
      </c>
      <c r="H175" s="16">
        <v>9.0030000000000001</v>
      </c>
      <c r="I175" s="12">
        <v>1</v>
      </c>
      <c r="J175" s="16">
        <v>5.5</v>
      </c>
      <c r="K175" s="16">
        <v>9</v>
      </c>
      <c r="L175" s="33">
        <f t="shared" si="2"/>
        <v>1</v>
      </c>
    </row>
    <row r="176" spans="1:12" x14ac:dyDescent="0.25">
      <c r="A176">
        <v>175</v>
      </c>
      <c r="B176" t="s">
        <v>262</v>
      </c>
      <c r="C176" s="16">
        <v>9.0009999999999994</v>
      </c>
      <c r="D176" s="12">
        <v>1</v>
      </c>
      <c r="E176" s="16">
        <v>6.5</v>
      </c>
      <c r="F176" s="16">
        <v>9</v>
      </c>
      <c r="G176" s="16">
        <v>9.0009999999999994</v>
      </c>
      <c r="H176" s="16">
        <v>9.0009999999999994</v>
      </c>
      <c r="I176" s="12">
        <v>1</v>
      </c>
      <c r="J176" s="16">
        <v>5.5</v>
      </c>
      <c r="K176" s="16">
        <v>9</v>
      </c>
      <c r="L176" s="33">
        <f t="shared" si="2"/>
        <v>1</v>
      </c>
    </row>
    <row r="177" spans="1:12" x14ac:dyDescent="0.25">
      <c r="A177">
        <v>176</v>
      </c>
      <c r="B177" t="s">
        <v>491</v>
      </c>
      <c r="C177" s="16">
        <v>9.0289999999999999</v>
      </c>
      <c r="D177" s="12">
        <v>1</v>
      </c>
      <c r="E177" s="16">
        <v>6.5</v>
      </c>
      <c r="F177" s="16">
        <v>8.9</v>
      </c>
      <c r="G177" s="16">
        <v>8.9039999999999999</v>
      </c>
      <c r="H177" s="16">
        <v>8.9039999999999999</v>
      </c>
      <c r="I177" s="12">
        <v>1</v>
      </c>
      <c r="J177" s="16">
        <v>5.5</v>
      </c>
      <c r="K177" s="16">
        <v>8.9</v>
      </c>
      <c r="L177" s="33">
        <f t="shared" si="2"/>
        <v>1</v>
      </c>
    </row>
    <row r="178" spans="1:12" x14ac:dyDescent="0.25">
      <c r="A178">
        <v>177</v>
      </c>
      <c r="B178" t="s">
        <v>359</v>
      </c>
      <c r="C178" s="16">
        <v>9.0280000000000005</v>
      </c>
      <c r="D178" s="12">
        <v>1</v>
      </c>
      <c r="E178" s="16">
        <v>6.5</v>
      </c>
      <c r="F178" s="16">
        <v>8.9</v>
      </c>
      <c r="G178" s="16">
        <v>8.9030000000000005</v>
      </c>
      <c r="H178" s="16">
        <v>8.9030000000000005</v>
      </c>
      <c r="I178" s="12">
        <v>1</v>
      </c>
      <c r="J178" s="16">
        <v>5.5</v>
      </c>
      <c r="K178" s="16">
        <v>8.9</v>
      </c>
      <c r="L178" s="33">
        <f t="shared" si="2"/>
        <v>1</v>
      </c>
    </row>
    <row r="179" spans="1:12" x14ac:dyDescent="0.25">
      <c r="A179">
        <v>178</v>
      </c>
      <c r="B179" t="s">
        <v>1052</v>
      </c>
      <c r="C179" s="16">
        <v>8.9529999999999994</v>
      </c>
      <c r="D179" s="12">
        <v>1</v>
      </c>
      <c r="E179" s="16">
        <v>6.5</v>
      </c>
      <c r="F179" s="16">
        <v>8.6999999999999993</v>
      </c>
      <c r="G179" s="16">
        <v>8.7029999999999994</v>
      </c>
      <c r="H179" s="16">
        <v>8.7029999999999994</v>
      </c>
      <c r="I179" s="12">
        <v>1</v>
      </c>
      <c r="J179" s="16">
        <v>5.5</v>
      </c>
      <c r="K179" s="16">
        <v>8.6999999999999993</v>
      </c>
      <c r="L179" s="33">
        <f t="shared" si="2"/>
        <v>1</v>
      </c>
    </row>
    <row r="180" spans="1:12" x14ac:dyDescent="0.25">
      <c r="A180">
        <v>179</v>
      </c>
      <c r="B180" t="s">
        <v>78</v>
      </c>
      <c r="C180" s="16">
        <v>8.952</v>
      </c>
      <c r="D180" s="12">
        <v>1</v>
      </c>
      <c r="E180" s="16">
        <v>6.5</v>
      </c>
      <c r="F180" s="16">
        <v>8.6999999999999993</v>
      </c>
      <c r="G180" s="16">
        <v>8.702</v>
      </c>
      <c r="H180" s="16">
        <v>8.702</v>
      </c>
      <c r="I180" s="12">
        <v>1</v>
      </c>
      <c r="J180" s="16">
        <v>5.5</v>
      </c>
      <c r="K180" s="16">
        <v>8.6999999999999993</v>
      </c>
      <c r="L180" s="33">
        <f t="shared" si="2"/>
        <v>1</v>
      </c>
    </row>
    <row r="181" spans="1:12" x14ac:dyDescent="0.25">
      <c r="A181">
        <v>180</v>
      </c>
      <c r="B181" t="s">
        <v>1039</v>
      </c>
      <c r="C181" s="16">
        <v>8.9510000000000005</v>
      </c>
      <c r="D181" s="4">
        <v>1</v>
      </c>
      <c r="E181" s="16">
        <v>6.5</v>
      </c>
      <c r="F181" s="16">
        <v>8.6999999999999993</v>
      </c>
      <c r="G181" s="16">
        <v>8.7010000000000005</v>
      </c>
      <c r="H181" s="16">
        <v>8.7010000000000005</v>
      </c>
      <c r="I181" s="12">
        <v>1</v>
      </c>
      <c r="J181" s="16">
        <v>5.5</v>
      </c>
      <c r="K181" s="16">
        <v>8.6999999999999993</v>
      </c>
      <c r="L181" s="33">
        <f t="shared" si="2"/>
        <v>1</v>
      </c>
    </row>
    <row r="182" spans="1:12" x14ac:dyDescent="0.25">
      <c r="A182">
        <v>181</v>
      </c>
      <c r="B182" s="10" t="s">
        <v>304</v>
      </c>
      <c r="C182" s="16">
        <v>21.783999999999999</v>
      </c>
      <c r="D182" s="4">
        <v>3</v>
      </c>
      <c r="E182" s="16">
        <v>6.4</v>
      </c>
      <c r="F182" s="16">
        <v>7</v>
      </c>
      <c r="G182" s="16">
        <v>20.908999999999999</v>
      </c>
      <c r="H182" s="16">
        <v>8.2010000000000005</v>
      </c>
      <c r="I182" s="12">
        <v>1</v>
      </c>
      <c r="J182" s="16">
        <v>5.5</v>
      </c>
      <c r="K182" s="16">
        <v>8.1999999999999993</v>
      </c>
      <c r="L182" s="33">
        <f t="shared" si="2"/>
        <v>0.33333333333333331</v>
      </c>
    </row>
    <row r="183" spans="1:12" x14ac:dyDescent="0.25">
      <c r="A183">
        <v>182</v>
      </c>
      <c r="B183" t="s">
        <v>257</v>
      </c>
      <c r="C183" s="16">
        <v>8.9049999999999994</v>
      </c>
      <c r="D183" s="12">
        <v>1</v>
      </c>
      <c r="E183" s="16">
        <v>6.4</v>
      </c>
      <c r="F183" s="16">
        <v>8.9</v>
      </c>
      <c r="G183" s="16">
        <v>8.9049999999999994</v>
      </c>
      <c r="H183" s="16">
        <v>8.9049999999999994</v>
      </c>
      <c r="I183" s="12">
        <v>1</v>
      </c>
      <c r="J183" s="16">
        <v>5.4</v>
      </c>
      <c r="K183" s="16">
        <v>8.9</v>
      </c>
      <c r="L183" s="33">
        <f t="shared" si="2"/>
        <v>1</v>
      </c>
    </row>
    <row r="184" spans="1:12" x14ac:dyDescent="0.25">
      <c r="A184">
        <v>183</v>
      </c>
      <c r="B184" t="s">
        <v>360</v>
      </c>
      <c r="C184" s="16">
        <v>8.9030000000000005</v>
      </c>
      <c r="D184" s="12">
        <v>1</v>
      </c>
      <c r="E184" s="16">
        <v>6.4</v>
      </c>
      <c r="F184" s="16">
        <v>8.9</v>
      </c>
      <c r="G184" s="16">
        <v>8.9030000000000005</v>
      </c>
      <c r="H184" s="16">
        <v>8.9030000000000005</v>
      </c>
      <c r="I184" s="12">
        <v>1</v>
      </c>
      <c r="J184" s="16">
        <v>5.4</v>
      </c>
      <c r="K184" s="16">
        <v>8.9</v>
      </c>
      <c r="L184" s="33">
        <f t="shared" si="2"/>
        <v>1</v>
      </c>
    </row>
    <row r="185" spans="1:12" x14ac:dyDescent="0.25">
      <c r="A185">
        <v>184</v>
      </c>
      <c r="B185" t="s">
        <v>1181</v>
      </c>
      <c r="C185" s="16">
        <v>8.9290000000000003</v>
      </c>
      <c r="D185" s="12">
        <v>1</v>
      </c>
      <c r="E185" s="16">
        <v>6.4</v>
      </c>
      <c r="F185" s="16">
        <v>8.8000000000000007</v>
      </c>
      <c r="G185" s="16">
        <v>8.8040000000000003</v>
      </c>
      <c r="H185" s="16">
        <v>8.8040000000000003</v>
      </c>
      <c r="I185" s="12">
        <v>1</v>
      </c>
      <c r="J185" s="16">
        <v>5.4</v>
      </c>
      <c r="K185" s="16">
        <v>8.8000000000000007</v>
      </c>
      <c r="L185" s="33">
        <f t="shared" si="2"/>
        <v>1</v>
      </c>
    </row>
    <row r="186" spans="1:12" x14ac:dyDescent="0.25">
      <c r="A186">
        <v>185</v>
      </c>
      <c r="B186" t="s">
        <v>945</v>
      </c>
      <c r="C186" s="16">
        <v>8.8539999999999992</v>
      </c>
      <c r="D186" s="12">
        <v>1</v>
      </c>
      <c r="E186" s="16">
        <v>6.4</v>
      </c>
      <c r="F186" s="16">
        <v>8.6</v>
      </c>
      <c r="G186" s="16">
        <v>8.6039999999999992</v>
      </c>
      <c r="H186" s="16">
        <v>8.6039999999999992</v>
      </c>
      <c r="I186" s="12">
        <v>1</v>
      </c>
      <c r="J186" s="16">
        <v>5.4</v>
      </c>
      <c r="K186" s="16">
        <v>8.6</v>
      </c>
      <c r="L186" s="33">
        <f t="shared" si="2"/>
        <v>1</v>
      </c>
    </row>
    <row r="187" spans="1:12" x14ac:dyDescent="0.25">
      <c r="A187">
        <v>186</v>
      </c>
      <c r="B187" t="s">
        <v>1267</v>
      </c>
      <c r="C187" s="16">
        <v>8.8529999999999998</v>
      </c>
      <c r="D187" s="12">
        <v>1</v>
      </c>
      <c r="E187" s="16">
        <v>6.4</v>
      </c>
      <c r="F187" s="16">
        <v>8.6</v>
      </c>
      <c r="G187" s="16">
        <v>8.6029999999999998</v>
      </c>
      <c r="H187" s="16">
        <v>8.6029999999999998</v>
      </c>
      <c r="I187" s="12">
        <v>1</v>
      </c>
      <c r="J187" s="16">
        <v>5.4</v>
      </c>
      <c r="K187" s="16">
        <v>8.6</v>
      </c>
      <c r="L187" s="33">
        <f t="shared" si="2"/>
        <v>1</v>
      </c>
    </row>
    <row r="188" spans="1:12" x14ac:dyDescent="0.25">
      <c r="A188">
        <v>187</v>
      </c>
      <c r="B188" s="10" t="s">
        <v>900</v>
      </c>
      <c r="C188" s="16">
        <v>8.8520000000000003</v>
      </c>
      <c r="D188" s="12">
        <v>1</v>
      </c>
      <c r="E188" s="16">
        <v>6.4</v>
      </c>
      <c r="F188" s="16">
        <v>8.6</v>
      </c>
      <c r="G188" s="16">
        <v>8.6020000000000003</v>
      </c>
      <c r="H188" s="16">
        <v>8.6020000000000003</v>
      </c>
      <c r="I188" s="12">
        <v>1</v>
      </c>
      <c r="J188" s="16">
        <v>5.4</v>
      </c>
      <c r="K188" s="16">
        <v>8.6</v>
      </c>
      <c r="L188" s="33">
        <f t="shared" si="2"/>
        <v>1</v>
      </c>
    </row>
    <row r="189" spans="1:12" x14ac:dyDescent="0.25">
      <c r="A189">
        <v>188</v>
      </c>
      <c r="B189" t="s">
        <v>274</v>
      </c>
      <c r="C189" s="16">
        <v>8.8569999999999993</v>
      </c>
      <c r="D189" s="12">
        <v>1</v>
      </c>
      <c r="E189" s="16">
        <v>6.4</v>
      </c>
      <c r="F189" s="16">
        <v>8.1</v>
      </c>
      <c r="G189" s="16">
        <v>8.1069999999999993</v>
      </c>
      <c r="H189" s="16">
        <v>8.1069999999999993</v>
      </c>
      <c r="I189" s="12">
        <v>1</v>
      </c>
      <c r="J189" s="16">
        <v>5.4</v>
      </c>
      <c r="K189" s="16">
        <v>8.1</v>
      </c>
      <c r="L189" s="33">
        <f t="shared" si="2"/>
        <v>1</v>
      </c>
    </row>
    <row r="190" spans="1:12" x14ac:dyDescent="0.25">
      <c r="A190">
        <v>189</v>
      </c>
      <c r="B190" t="s">
        <v>1332</v>
      </c>
      <c r="C190" s="16">
        <v>8.8520000000000003</v>
      </c>
      <c r="D190" s="12">
        <v>1</v>
      </c>
      <c r="E190" s="16">
        <v>6.4</v>
      </c>
      <c r="F190" s="16">
        <v>8.1</v>
      </c>
      <c r="G190" s="16">
        <v>8.1020000000000003</v>
      </c>
      <c r="H190" s="16">
        <v>8.1020000000000003</v>
      </c>
      <c r="I190" s="12">
        <v>1</v>
      </c>
      <c r="J190" s="16">
        <v>5.4</v>
      </c>
      <c r="K190" s="16">
        <v>8.1</v>
      </c>
      <c r="L190" s="33">
        <f t="shared" si="2"/>
        <v>1</v>
      </c>
    </row>
    <row r="191" spans="1:12" x14ac:dyDescent="0.25">
      <c r="A191">
        <v>190</v>
      </c>
      <c r="B191" t="s">
        <v>1046</v>
      </c>
      <c r="C191" s="16">
        <v>14.312000000000001</v>
      </c>
      <c r="D191" s="12">
        <v>2</v>
      </c>
      <c r="E191" s="16">
        <v>5.9</v>
      </c>
      <c r="F191" s="16">
        <v>7.2</v>
      </c>
      <c r="G191" s="16">
        <v>14.312000000000001</v>
      </c>
      <c r="H191" s="16">
        <v>14.312000000000001</v>
      </c>
      <c r="I191" s="12">
        <v>2</v>
      </c>
      <c r="J191" s="16">
        <v>5.4</v>
      </c>
      <c r="K191" s="16">
        <v>7.2</v>
      </c>
      <c r="L191" s="33">
        <f t="shared" si="2"/>
        <v>1</v>
      </c>
    </row>
    <row r="192" spans="1:12" x14ac:dyDescent="0.25">
      <c r="A192">
        <v>191</v>
      </c>
      <c r="B192" t="s">
        <v>682</v>
      </c>
      <c r="C192" s="16">
        <v>8.8070000000000004</v>
      </c>
      <c r="D192" s="12">
        <v>1</v>
      </c>
      <c r="E192" s="16">
        <v>6.3</v>
      </c>
      <c r="F192" s="16">
        <v>8.8000000000000007</v>
      </c>
      <c r="G192" s="16">
        <v>8.8070000000000004</v>
      </c>
      <c r="H192" s="16">
        <v>8.8070000000000004</v>
      </c>
      <c r="I192" s="12">
        <v>1</v>
      </c>
      <c r="J192" s="16">
        <v>5.3</v>
      </c>
      <c r="K192" s="16">
        <v>8.8000000000000007</v>
      </c>
      <c r="L192" s="33">
        <f t="shared" si="2"/>
        <v>1</v>
      </c>
    </row>
    <row r="193" spans="1:12" x14ac:dyDescent="0.25">
      <c r="A193">
        <v>192</v>
      </c>
      <c r="B193" t="s">
        <v>1315</v>
      </c>
      <c r="C193" s="16">
        <v>8.8049999999999997</v>
      </c>
      <c r="D193" s="12">
        <v>1</v>
      </c>
      <c r="E193" s="16">
        <v>6.3</v>
      </c>
      <c r="F193" s="16">
        <v>8.8000000000000007</v>
      </c>
      <c r="G193" s="16">
        <v>8.8049999999999997</v>
      </c>
      <c r="H193" s="16">
        <v>8.8049999999999997</v>
      </c>
      <c r="I193" s="12">
        <v>1</v>
      </c>
      <c r="J193" s="16">
        <v>5.3</v>
      </c>
      <c r="K193" s="16">
        <v>8.8000000000000007</v>
      </c>
      <c r="L193" s="33">
        <f t="shared" si="2"/>
        <v>1</v>
      </c>
    </row>
    <row r="194" spans="1:12" x14ac:dyDescent="0.25">
      <c r="A194">
        <v>193</v>
      </c>
      <c r="B194" t="s">
        <v>269</v>
      </c>
      <c r="C194" s="16">
        <v>8.8040000000000003</v>
      </c>
      <c r="D194" s="12">
        <v>1</v>
      </c>
      <c r="E194" s="16">
        <v>6.3</v>
      </c>
      <c r="F194" s="16">
        <v>8.8000000000000007</v>
      </c>
      <c r="G194" s="16">
        <v>8.8040000000000003</v>
      </c>
      <c r="H194" s="16">
        <v>8.8040000000000003</v>
      </c>
      <c r="I194" s="12">
        <v>1</v>
      </c>
      <c r="J194" s="16">
        <v>5.3</v>
      </c>
      <c r="K194" s="16">
        <v>8.8000000000000007</v>
      </c>
      <c r="L194" s="33">
        <f t="shared" ref="L194:L257" si="3">I194/D194</f>
        <v>1</v>
      </c>
    </row>
    <row r="195" spans="1:12" x14ac:dyDescent="0.25">
      <c r="A195">
        <v>194</v>
      </c>
      <c r="B195" s="10" t="s">
        <v>335</v>
      </c>
      <c r="C195" s="16">
        <v>17.658999999999999</v>
      </c>
      <c r="D195" s="12">
        <v>3</v>
      </c>
      <c r="E195" s="16">
        <v>5.0999999999999996</v>
      </c>
      <c r="F195" s="16">
        <v>5.8</v>
      </c>
      <c r="G195" s="16">
        <v>17.408999999999999</v>
      </c>
      <c r="H195" s="16">
        <v>8.7059999999999995</v>
      </c>
      <c r="I195" s="12">
        <v>1</v>
      </c>
      <c r="J195" s="16">
        <v>5.3</v>
      </c>
      <c r="K195" s="16">
        <v>8.6999999999999993</v>
      </c>
      <c r="L195" s="33">
        <f t="shared" si="3"/>
        <v>0.33333333333333331</v>
      </c>
    </row>
    <row r="196" spans="1:12" x14ac:dyDescent="0.25">
      <c r="A196">
        <v>195</v>
      </c>
      <c r="B196" t="s">
        <v>255</v>
      </c>
      <c r="C196" s="16">
        <v>8.83</v>
      </c>
      <c r="D196" s="12">
        <v>1</v>
      </c>
      <c r="E196" s="16">
        <v>6.3</v>
      </c>
      <c r="F196" s="16">
        <v>8.6999999999999993</v>
      </c>
      <c r="G196" s="16">
        <v>8.7050000000000001</v>
      </c>
      <c r="H196" s="16">
        <v>8.7050000000000001</v>
      </c>
      <c r="I196" s="12">
        <v>1</v>
      </c>
      <c r="J196" s="16">
        <v>5.3</v>
      </c>
      <c r="K196" s="16">
        <v>8.6999999999999993</v>
      </c>
      <c r="L196" s="33">
        <f t="shared" si="3"/>
        <v>1</v>
      </c>
    </row>
    <row r="197" spans="1:12" x14ac:dyDescent="0.25">
      <c r="A197">
        <v>196</v>
      </c>
      <c r="B197" t="s">
        <v>1053</v>
      </c>
      <c r="C197" s="16">
        <v>8.8279999999999994</v>
      </c>
      <c r="D197" s="12">
        <v>1</v>
      </c>
      <c r="E197" s="16">
        <v>6.3</v>
      </c>
      <c r="F197" s="16">
        <v>8.6999999999999993</v>
      </c>
      <c r="G197" s="16">
        <v>8.7029999999999994</v>
      </c>
      <c r="H197" s="16">
        <v>8.7029999999999994</v>
      </c>
      <c r="I197" s="12">
        <v>1</v>
      </c>
      <c r="J197" s="16">
        <v>5.3</v>
      </c>
      <c r="K197" s="16">
        <v>8.6999999999999993</v>
      </c>
      <c r="L197" s="33">
        <f t="shared" si="3"/>
        <v>1</v>
      </c>
    </row>
    <row r="198" spans="1:12" x14ac:dyDescent="0.25">
      <c r="A198">
        <v>197</v>
      </c>
      <c r="B198" t="s">
        <v>287</v>
      </c>
      <c r="C198" s="16">
        <v>15.879999999999999</v>
      </c>
      <c r="D198" s="12">
        <v>2</v>
      </c>
      <c r="E198" s="16">
        <v>6.7</v>
      </c>
      <c r="F198" s="16">
        <v>7.8</v>
      </c>
      <c r="G198" s="16">
        <v>15.504999999999999</v>
      </c>
      <c r="H198" s="16">
        <v>8.702</v>
      </c>
      <c r="I198" s="12">
        <v>1</v>
      </c>
      <c r="J198" s="16">
        <v>5.3</v>
      </c>
      <c r="K198" s="16">
        <v>8.6999999999999993</v>
      </c>
      <c r="L198" s="33">
        <f t="shared" si="3"/>
        <v>0.5</v>
      </c>
    </row>
    <row r="199" spans="1:12" x14ac:dyDescent="0.25">
      <c r="A199">
        <v>198</v>
      </c>
      <c r="B199" t="s">
        <v>1040</v>
      </c>
      <c r="C199" s="16">
        <v>8.8260000000000005</v>
      </c>
      <c r="D199" s="12">
        <v>1</v>
      </c>
      <c r="E199" s="16">
        <v>6.3</v>
      </c>
      <c r="F199" s="16">
        <v>8.6999999999999993</v>
      </c>
      <c r="G199" s="16">
        <v>8.7010000000000005</v>
      </c>
      <c r="H199" s="16">
        <v>8.7010000000000005</v>
      </c>
      <c r="I199" s="12">
        <v>1</v>
      </c>
      <c r="J199" s="16">
        <v>5.3</v>
      </c>
      <c r="K199" s="16">
        <v>8.6999999999999993</v>
      </c>
      <c r="L199" s="33">
        <f t="shared" si="3"/>
        <v>1</v>
      </c>
    </row>
    <row r="200" spans="1:12" x14ac:dyDescent="0.25">
      <c r="A200">
        <v>199</v>
      </c>
      <c r="B200" t="s">
        <v>300</v>
      </c>
      <c r="C200" s="16">
        <v>8.7550000000000008</v>
      </c>
      <c r="D200" s="12">
        <v>1</v>
      </c>
      <c r="E200" s="16">
        <v>6.3</v>
      </c>
      <c r="F200" s="16">
        <v>8.5</v>
      </c>
      <c r="G200" s="16">
        <v>8.5050000000000008</v>
      </c>
      <c r="H200" s="16">
        <v>8.5050000000000008</v>
      </c>
      <c r="I200" s="12">
        <v>1</v>
      </c>
      <c r="J200" s="16">
        <v>5.3</v>
      </c>
      <c r="K200" s="16">
        <v>8.5</v>
      </c>
      <c r="L200" s="33">
        <f t="shared" si="3"/>
        <v>1</v>
      </c>
    </row>
    <row r="201" spans="1:12" x14ac:dyDescent="0.25">
      <c r="A201">
        <v>200</v>
      </c>
      <c r="B201" t="s">
        <v>893</v>
      </c>
      <c r="C201" s="16">
        <v>8.7539999999999996</v>
      </c>
      <c r="D201" s="12">
        <v>1</v>
      </c>
      <c r="E201" s="16">
        <v>6.3</v>
      </c>
      <c r="F201" s="16">
        <v>8.5</v>
      </c>
      <c r="G201" s="16">
        <v>8.5039999999999996</v>
      </c>
      <c r="H201" s="16">
        <v>8.5039999999999996</v>
      </c>
      <c r="I201" s="12">
        <v>1</v>
      </c>
      <c r="J201" s="16">
        <v>5.3</v>
      </c>
      <c r="K201" s="16">
        <v>8.5</v>
      </c>
      <c r="L201" s="33">
        <f t="shared" si="3"/>
        <v>1</v>
      </c>
    </row>
    <row r="202" spans="1:12" x14ac:dyDescent="0.25">
      <c r="A202">
        <v>201</v>
      </c>
      <c r="B202" t="s">
        <v>1182</v>
      </c>
      <c r="C202" s="16">
        <v>8.7509999999999994</v>
      </c>
      <c r="D202" s="12">
        <v>1</v>
      </c>
      <c r="E202" s="16">
        <v>6.3</v>
      </c>
      <c r="F202" s="16">
        <v>8.5</v>
      </c>
      <c r="G202" s="16">
        <v>8.5009999999999994</v>
      </c>
      <c r="H202" s="16">
        <v>8.5009999999999994</v>
      </c>
      <c r="I202" s="12">
        <v>1</v>
      </c>
      <c r="J202" s="16">
        <v>5.3</v>
      </c>
      <c r="K202" s="16">
        <v>8.5</v>
      </c>
      <c r="L202" s="33">
        <f t="shared" si="3"/>
        <v>1</v>
      </c>
    </row>
    <row r="203" spans="1:12" x14ac:dyDescent="0.25">
      <c r="A203">
        <v>202</v>
      </c>
      <c r="B203" t="s">
        <v>529</v>
      </c>
      <c r="C203" s="16">
        <v>8.7569999999999997</v>
      </c>
      <c r="D203" s="12">
        <v>1</v>
      </c>
      <c r="E203" s="16">
        <v>6.3</v>
      </c>
      <c r="F203" s="16">
        <v>8</v>
      </c>
      <c r="G203" s="16">
        <v>8.0069999999999997</v>
      </c>
      <c r="H203" s="16">
        <v>8.0069999999999997</v>
      </c>
      <c r="I203" s="12">
        <v>1</v>
      </c>
      <c r="J203" s="16">
        <v>5.3</v>
      </c>
      <c r="K203" s="16">
        <v>8</v>
      </c>
      <c r="L203" s="33">
        <f t="shared" si="3"/>
        <v>1</v>
      </c>
    </row>
    <row r="204" spans="1:12" x14ac:dyDescent="0.25">
      <c r="A204">
        <v>203</v>
      </c>
      <c r="B204" t="s">
        <v>551</v>
      </c>
      <c r="C204" s="16">
        <v>8.7530000000000001</v>
      </c>
      <c r="D204" s="12">
        <v>1</v>
      </c>
      <c r="E204" s="16">
        <v>6.3</v>
      </c>
      <c r="F204" s="16">
        <v>8</v>
      </c>
      <c r="G204" s="16">
        <v>8.0030000000000001</v>
      </c>
      <c r="H204" s="16">
        <v>8.0030000000000001</v>
      </c>
      <c r="I204" s="12">
        <v>1</v>
      </c>
      <c r="J204" s="16">
        <v>5.3</v>
      </c>
      <c r="K204" s="16">
        <v>8</v>
      </c>
      <c r="L204" s="33">
        <f t="shared" si="3"/>
        <v>1</v>
      </c>
    </row>
    <row r="205" spans="1:12" x14ac:dyDescent="0.25">
      <c r="A205">
        <v>204</v>
      </c>
      <c r="B205" t="s">
        <v>483</v>
      </c>
      <c r="C205" s="16">
        <v>8.7059999999999995</v>
      </c>
      <c r="D205" s="12">
        <v>1</v>
      </c>
      <c r="E205" s="16">
        <v>6.2</v>
      </c>
      <c r="F205" s="16">
        <v>8.6999999999999993</v>
      </c>
      <c r="G205" s="16">
        <v>8.7059999999999995</v>
      </c>
      <c r="H205" s="16">
        <v>8.7059999999999995</v>
      </c>
      <c r="I205" s="12">
        <v>1</v>
      </c>
      <c r="J205" s="16">
        <v>5.2</v>
      </c>
      <c r="K205" s="16">
        <v>8.6999999999999993</v>
      </c>
      <c r="L205" s="33">
        <f t="shared" si="3"/>
        <v>1</v>
      </c>
    </row>
    <row r="206" spans="1:12" x14ac:dyDescent="0.25">
      <c r="A206">
        <v>205</v>
      </c>
      <c r="B206" t="s">
        <v>582</v>
      </c>
      <c r="C206" s="16">
        <v>14.81</v>
      </c>
      <c r="D206" s="12">
        <v>2</v>
      </c>
      <c r="E206" s="16">
        <v>6.2</v>
      </c>
      <c r="F206" s="16">
        <v>7.4</v>
      </c>
      <c r="G206" s="16">
        <v>14.81</v>
      </c>
      <c r="H206" s="16">
        <v>8.7040000000000006</v>
      </c>
      <c r="I206" s="12">
        <v>1</v>
      </c>
      <c r="J206" s="16">
        <v>5.2</v>
      </c>
      <c r="K206" s="16">
        <v>8.6999999999999993</v>
      </c>
      <c r="L206" s="33">
        <f t="shared" si="3"/>
        <v>0.5</v>
      </c>
    </row>
    <row r="207" spans="1:12" x14ac:dyDescent="0.25">
      <c r="A207">
        <v>206</v>
      </c>
      <c r="B207" s="10" t="s">
        <v>1054</v>
      </c>
      <c r="C207" s="16">
        <v>8.7029999999999994</v>
      </c>
      <c r="D207" s="12">
        <v>1</v>
      </c>
      <c r="E207" s="16">
        <v>6.2</v>
      </c>
      <c r="F207" s="16">
        <v>8.6999999999999993</v>
      </c>
      <c r="G207" s="16">
        <v>8.7029999999999994</v>
      </c>
      <c r="H207" s="16">
        <v>8.7029999999999994</v>
      </c>
      <c r="I207" s="12">
        <v>1</v>
      </c>
      <c r="J207" s="16">
        <v>5.2</v>
      </c>
      <c r="K207" s="16">
        <v>8.6999999999999993</v>
      </c>
      <c r="L207" s="33">
        <f t="shared" si="3"/>
        <v>1</v>
      </c>
    </row>
    <row r="208" spans="1:12" x14ac:dyDescent="0.25">
      <c r="A208">
        <v>207</v>
      </c>
      <c r="B208" t="s">
        <v>288</v>
      </c>
      <c r="C208" s="16">
        <v>8.702</v>
      </c>
      <c r="D208" s="12">
        <v>1</v>
      </c>
      <c r="E208" s="16">
        <v>6.2</v>
      </c>
      <c r="F208" s="16">
        <v>8.6999999999999993</v>
      </c>
      <c r="G208" s="16">
        <v>8.702</v>
      </c>
      <c r="H208" s="16">
        <v>8.702</v>
      </c>
      <c r="I208" s="12">
        <v>1</v>
      </c>
      <c r="J208" s="16">
        <v>5.2</v>
      </c>
      <c r="K208" s="16">
        <v>8.6999999999999993</v>
      </c>
      <c r="L208" s="33">
        <f t="shared" si="3"/>
        <v>1</v>
      </c>
    </row>
    <row r="209" spans="1:12" x14ac:dyDescent="0.25">
      <c r="A209">
        <v>208</v>
      </c>
      <c r="B209" t="s">
        <v>1041</v>
      </c>
      <c r="C209" s="16">
        <v>8.7010000000000005</v>
      </c>
      <c r="D209" s="12">
        <v>1</v>
      </c>
      <c r="E209" s="16">
        <v>6.2</v>
      </c>
      <c r="F209" s="16">
        <v>8.6999999999999993</v>
      </c>
      <c r="G209" s="16">
        <v>8.7010000000000005</v>
      </c>
      <c r="H209" s="16">
        <v>8.7010000000000005</v>
      </c>
      <c r="I209" s="12">
        <v>1</v>
      </c>
      <c r="J209" s="16">
        <v>5.2</v>
      </c>
      <c r="K209" s="16">
        <v>8.6999999999999993</v>
      </c>
      <c r="L209" s="33">
        <f t="shared" si="3"/>
        <v>1</v>
      </c>
    </row>
    <row r="210" spans="1:12" x14ac:dyDescent="0.25">
      <c r="A210">
        <v>209</v>
      </c>
      <c r="B210" t="s">
        <v>244</v>
      </c>
      <c r="C210" s="16">
        <v>8.7319999999999993</v>
      </c>
      <c r="D210" s="12">
        <v>1</v>
      </c>
      <c r="E210" s="16">
        <v>6.2</v>
      </c>
      <c r="F210" s="16">
        <v>8.6</v>
      </c>
      <c r="G210" s="16">
        <v>8.6069999999999993</v>
      </c>
      <c r="H210" s="16">
        <v>8.6069999999999993</v>
      </c>
      <c r="I210" s="12">
        <v>1</v>
      </c>
      <c r="J210" s="16">
        <v>5.2</v>
      </c>
      <c r="K210" s="16">
        <v>8.6</v>
      </c>
      <c r="L210" s="33">
        <f t="shared" si="3"/>
        <v>1</v>
      </c>
    </row>
    <row r="211" spans="1:12" x14ac:dyDescent="0.25">
      <c r="A211">
        <v>210</v>
      </c>
      <c r="B211" t="s">
        <v>236</v>
      </c>
      <c r="C211" s="16">
        <v>8.7309999999999999</v>
      </c>
      <c r="D211" s="12">
        <v>1</v>
      </c>
      <c r="E211" s="16">
        <v>6.2</v>
      </c>
      <c r="F211" s="16">
        <v>8.6</v>
      </c>
      <c r="G211" s="16">
        <v>8.6059999999999999</v>
      </c>
      <c r="H211" s="16">
        <v>8.6059999999999999</v>
      </c>
      <c r="I211" s="12">
        <v>1</v>
      </c>
      <c r="J211" s="16">
        <v>5.2</v>
      </c>
      <c r="K211" s="16">
        <v>8.6</v>
      </c>
      <c r="L211" s="33">
        <f t="shared" si="3"/>
        <v>1</v>
      </c>
    </row>
    <row r="212" spans="1:12" x14ac:dyDescent="0.25">
      <c r="A212">
        <v>211</v>
      </c>
      <c r="B212" t="s">
        <v>946</v>
      </c>
      <c r="C212" s="16">
        <v>8.7289999999999992</v>
      </c>
      <c r="D212" s="12">
        <v>1</v>
      </c>
      <c r="E212" s="16">
        <v>6.2</v>
      </c>
      <c r="F212" s="16">
        <v>8.6</v>
      </c>
      <c r="G212" s="16">
        <v>8.6039999999999992</v>
      </c>
      <c r="H212" s="16">
        <v>8.6039999999999992</v>
      </c>
      <c r="I212" s="12">
        <v>1</v>
      </c>
      <c r="J212" s="16">
        <v>5.2</v>
      </c>
      <c r="K212" s="16">
        <v>8.6</v>
      </c>
      <c r="L212" s="33">
        <f t="shared" si="3"/>
        <v>1</v>
      </c>
    </row>
    <row r="213" spans="1:12" x14ac:dyDescent="0.25">
      <c r="A213">
        <v>212</v>
      </c>
      <c r="B213" s="10" t="s">
        <v>1268</v>
      </c>
      <c r="C213" s="16">
        <v>8.7279999999999998</v>
      </c>
      <c r="D213" s="12">
        <v>1</v>
      </c>
      <c r="E213" s="16">
        <v>6.2</v>
      </c>
      <c r="F213" s="16">
        <v>8.6</v>
      </c>
      <c r="G213" s="16">
        <v>8.6029999999999998</v>
      </c>
      <c r="H213" s="16">
        <v>8.6029999999999998</v>
      </c>
      <c r="I213" s="12">
        <v>1</v>
      </c>
      <c r="J213" s="16">
        <v>5.2</v>
      </c>
      <c r="K213" s="16">
        <v>8.6</v>
      </c>
      <c r="L213" s="33">
        <f t="shared" si="3"/>
        <v>1</v>
      </c>
    </row>
    <row r="214" spans="1:12" x14ac:dyDescent="0.25">
      <c r="A214">
        <v>213</v>
      </c>
      <c r="B214" s="10" t="s">
        <v>899</v>
      </c>
      <c r="C214" s="16">
        <v>8.7270000000000003</v>
      </c>
      <c r="D214" s="12">
        <v>1</v>
      </c>
      <c r="E214" s="16">
        <v>6.2</v>
      </c>
      <c r="F214" s="16">
        <v>8.6</v>
      </c>
      <c r="G214" s="16">
        <v>8.6020000000000003</v>
      </c>
      <c r="H214" s="16">
        <v>8.6020000000000003</v>
      </c>
      <c r="I214" s="12">
        <v>1</v>
      </c>
      <c r="J214" s="16">
        <v>5.2</v>
      </c>
      <c r="K214" s="16">
        <v>8.6</v>
      </c>
      <c r="L214" s="33">
        <f t="shared" si="3"/>
        <v>1</v>
      </c>
    </row>
    <row r="215" spans="1:12" x14ac:dyDescent="0.25">
      <c r="A215">
        <v>214</v>
      </c>
      <c r="B215" s="10" t="s">
        <v>256</v>
      </c>
      <c r="C215" s="16">
        <v>19.631</v>
      </c>
      <c r="D215" s="12">
        <v>3</v>
      </c>
      <c r="E215" s="16">
        <v>5.7</v>
      </c>
      <c r="F215" s="16">
        <v>6</v>
      </c>
      <c r="G215" s="16">
        <v>18.006</v>
      </c>
      <c r="H215" s="16">
        <v>8.6010000000000009</v>
      </c>
      <c r="I215" s="12">
        <v>1</v>
      </c>
      <c r="J215" s="16">
        <v>5.2</v>
      </c>
      <c r="K215" s="16">
        <v>8.6</v>
      </c>
      <c r="L215" s="33">
        <f t="shared" si="3"/>
        <v>0.33333333333333331</v>
      </c>
    </row>
    <row r="216" spans="1:12" x14ac:dyDescent="0.25">
      <c r="A216">
        <v>215</v>
      </c>
      <c r="B216" t="s">
        <v>279</v>
      </c>
      <c r="C216" s="16">
        <v>13.356999999999999</v>
      </c>
      <c r="D216" s="12">
        <v>2</v>
      </c>
      <c r="E216" s="16">
        <v>5.4</v>
      </c>
      <c r="F216" s="16">
        <v>6.6</v>
      </c>
      <c r="G216" s="16">
        <v>13.106999999999999</v>
      </c>
      <c r="H216" s="16">
        <v>8.4060000000000006</v>
      </c>
      <c r="I216" s="12">
        <v>1</v>
      </c>
      <c r="J216" s="16">
        <v>5.2</v>
      </c>
      <c r="K216" s="16">
        <v>8.4</v>
      </c>
      <c r="L216" s="33">
        <f t="shared" si="3"/>
        <v>0.5</v>
      </c>
    </row>
    <row r="217" spans="1:12" x14ac:dyDescent="0.25">
      <c r="A217">
        <v>216</v>
      </c>
      <c r="B217" t="s">
        <v>1017</v>
      </c>
      <c r="C217" s="16">
        <v>8.6539999999999999</v>
      </c>
      <c r="D217" s="12">
        <v>1</v>
      </c>
      <c r="E217" s="16">
        <v>6.2</v>
      </c>
      <c r="F217" s="16">
        <v>8.4</v>
      </c>
      <c r="G217" s="16">
        <v>8.4039999999999999</v>
      </c>
      <c r="H217" s="16">
        <v>8.4039999999999999</v>
      </c>
      <c r="I217" s="12">
        <v>1</v>
      </c>
      <c r="J217" s="16">
        <v>5.2</v>
      </c>
      <c r="K217" s="16">
        <v>8.4</v>
      </c>
      <c r="L217" s="33">
        <f t="shared" si="3"/>
        <v>1</v>
      </c>
    </row>
    <row r="218" spans="1:12" x14ac:dyDescent="0.25">
      <c r="A218">
        <v>217</v>
      </c>
      <c r="B218" t="s">
        <v>245</v>
      </c>
      <c r="C218" s="16">
        <v>8.6069999999999993</v>
      </c>
      <c r="D218" s="12">
        <v>1</v>
      </c>
      <c r="E218" s="16">
        <v>6.1</v>
      </c>
      <c r="F218" s="16">
        <v>8.6</v>
      </c>
      <c r="G218" s="16">
        <v>8.6069999999999993</v>
      </c>
      <c r="H218" s="16">
        <v>8.6069999999999993</v>
      </c>
      <c r="I218" s="12">
        <v>1</v>
      </c>
      <c r="J218" s="16">
        <v>5.0999999999999996</v>
      </c>
      <c r="K218" s="16">
        <v>8.6</v>
      </c>
      <c r="L218" s="33">
        <f t="shared" si="3"/>
        <v>1</v>
      </c>
    </row>
    <row r="219" spans="1:12" x14ac:dyDescent="0.25">
      <c r="A219">
        <v>218</v>
      </c>
      <c r="B219" t="s">
        <v>237</v>
      </c>
      <c r="C219" s="16">
        <v>8.6059999999999999</v>
      </c>
      <c r="D219" s="12">
        <v>1</v>
      </c>
      <c r="E219" s="16">
        <v>6.1</v>
      </c>
      <c r="F219" s="16">
        <v>8.6</v>
      </c>
      <c r="G219" s="16">
        <v>8.6059999999999999</v>
      </c>
      <c r="H219" s="16">
        <v>8.6059999999999999</v>
      </c>
      <c r="I219" s="12">
        <v>1</v>
      </c>
      <c r="J219" s="16">
        <v>5.0999999999999996</v>
      </c>
      <c r="K219" s="16">
        <v>8.6</v>
      </c>
      <c r="L219" s="33">
        <f t="shared" si="3"/>
        <v>1</v>
      </c>
    </row>
    <row r="220" spans="1:12" x14ac:dyDescent="0.25">
      <c r="A220">
        <v>219</v>
      </c>
      <c r="B220" t="s">
        <v>1269</v>
      </c>
      <c r="C220" s="16">
        <v>8.6029999999999998</v>
      </c>
      <c r="D220" s="12">
        <v>1</v>
      </c>
      <c r="E220" s="16">
        <v>6.1</v>
      </c>
      <c r="F220" s="16">
        <v>8.6</v>
      </c>
      <c r="G220" s="16">
        <v>8.6029999999999998</v>
      </c>
      <c r="H220" s="16">
        <v>8.6029999999999998</v>
      </c>
      <c r="I220" s="12">
        <v>1</v>
      </c>
      <c r="J220" s="16">
        <v>5.0999999999999996</v>
      </c>
      <c r="K220" s="16">
        <v>8.6</v>
      </c>
      <c r="L220" s="33">
        <f t="shared" si="3"/>
        <v>1</v>
      </c>
    </row>
    <row r="221" spans="1:12" x14ac:dyDescent="0.25">
      <c r="A221">
        <v>220</v>
      </c>
      <c r="B221" t="s">
        <v>364</v>
      </c>
      <c r="C221" s="16">
        <v>14.335000000000001</v>
      </c>
      <c r="D221" s="12">
        <v>2</v>
      </c>
      <c r="E221" s="16">
        <v>5.9</v>
      </c>
      <c r="F221" s="16">
        <v>7.1</v>
      </c>
      <c r="G221" s="16">
        <v>14.21</v>
      </c>
      <c r="H221" s="16">
        <v>8.5069999999999997</v>
      </c>
      <c r="I221" s="12">
        <v>1</v>
      </c>
      <c r="J221" s="16">
        <v>5.0999999999999996</v>
      </c>
      <c r="K221" s="16">
        <v>8.5</v>
      </c>
      <c r="L221" s="33">
        <f t="shared" si="3"/>
        <v>0.5</v>
      </c>
    </row>
    <row r="222" spans="1:12" x14ac:dyDescent="0.25">
      <c r="A222">
        <v>221</v>
      </c>
      <c r="B222" t="s">
        <v>266</v>
      </c>
      <c r="C222" s="16">
        <v>8.6310000000000002</v>
      </c>
      <c r="D222" s="12">
        <v>1</v>
      </c>
      <c r="E222" s="16">
        <v>6.1</v>
      </c>
      <c r="F222" s="16">
        <v>8.5</v>
      </c>
      <c r="G222" s="16">
        <v>8.5060000000000002</v>
      </c>
      <c r="H222" s="16">
        <v>8.5060000000000002</v>
      </c>
      <c r="I222" s="12">
        <v>1</v>
      </c>
      <c r="J222" s="16">
        <v>5.0999999999999996</v>
      </c>
      <c r="K222" s="16">
        <v>8.5</v>
      </c>
      <c r="L222" s="33">
        <f t="shared" si="3"/>
        <v>1</v>
      </c>
    </row>
    <row r="223" spans="1:12" x14ac:dyDescent="0.25">
      <c r="A223">
        <v>222</v>
      </c>
      <c r="B223" t="s">
        <v>301</v>
      </c>
      <c r="C223" s="16">
        <v>8.6300000000000008</v>
      </c>
      <c r="D223" s="12">
        <v>1</v>
      </c>
      <c r="E223" s="16">
        <v>6.1</v>
      </c>
      <c r="F223" s="16">
        <v>8.5</v>
      </c>
      <c r="G223" s="16">
        <v>8.5050000000000008</v>
      </c>
      <c r="H223" s="16">
        <v>8.5050000000000008</v>
      </c>
      <c r="I223" s="12">
        <v>1</v>
      </c>
      <c r="J223" s="16">
        <v>5.0999999999999996</v>
      </c>
      <c r="K223" s="16">
        <v>8.5</v>
      </c>
      <c r="L223" s="33">
        <f t="shared" si="3"/>
        <v>1</v>
      </c>
    </row>
    <row r="224" spans="1:12" x14ac:dyDescent="0.25">
      <c r="A224">
        <v>223</v>
      </c>
      <c r="B224" s="5" t="s">
        <v>1095</v>
      </c>
      <c r="C224" s="16">
        <v>14.431000000000001</v>
      </c>
      <c r="D224" s="12">
        <v>2</v>
      </c>
      <c r="E224" s="16">
        <v>6</v>
      </c>
      <c r="F224" s="16">
        <v>7.2</v>
      </c>
      <c r="G224" s="16">
        <v>14.306000000000001</v>
      </c>
      <c r="H224" s="16">
        <v>8.5030000000000001</v>
      </c>
      <c r="I224" s="12">
        <v>1</v>
      </c>
      <c r="J224" s="16">
        <v>5.0999999999999996</v>
      </c>
      <c r="K224" s="16">
        <v>8.5</v>
      </c>
      <c r="L224" s="33">
        <f t="shared" si="3"/>
        <v>0.5</v>
      </c>
    </row>
    <row r="225" spans="1:12" x14ac:dyDescent="0.25">
      <c r="A225">
        <v>224</v>
      </c>
      <c r="B225" t="s">
        <v>654</v>
      </c>
      <c r="C225" s="16">
        <v>8.6270000000000007</v>
      </c>
      <c r="D225" s="12">
        <v>1</v>
      </c>
      <c r="E225" s="16">
        <v>6.1</v>
      </c>
      <c r="F225" s="16">
        <v>8.5</v>
      </c>
      <c r="G225" s="16">
        <v>8.5020000000000007</v>
      </c>
      <c r="H225" s="16">
        <v>8.5020000000000007</v>
      </c>
      <c r="I225" s="12">
        <v>1</v>
      </c>
      <c r="J225" s="16">
        <v>5.0999999999999996</v>
      </c>
      <c r="K225" s="16">
        <v>8.5</v>
      </c>
      <c r="L225" s="33">
        <f t="shared" si="3"/>
        <v>1</v>
      </c>
    </row>
    <row r="226" spans="1:12" x14ac:dyDescent="0.25">
      <c r="A226">
        <v>225</v>
      </c>
      <c r="B226" t="s">
        <v>1298</v>
      </c>
      <c r="C226" s="16">
        <v>8.6259999999999994</v>
      </c>
      <c r="D226" s="12">
        <v>1</v>
      </c>
      <c r="E226" s="16">
        <v>6.1</v>
      </c>
      <c r="F226" s="16">
        <v>8.5</v>
      </c>
      <c r="G226" s="16">
        <v>8.5009999999999994</v>
      </c>
      <c r="H226" s="16">
        <v>8.5009999999999994</v>
      </c>
      <c r="I226" s="12">
        <v>1</v>
      </c>
      <c r="J226" s="16">
        <v>5.0999999999999996</v>
      </c>
      <c r="K226" s="16">
        <v>8.5</v>
      </c>
      <c r="L226" s="33">
        <f t="shared" si="3"/>
        <v>1</v>
      </c>
    </row>
    <row r="227" spans="1:12" x14ac:dyDescent="0.25">
      <c r="A227">
        <v>226</v>
      </c>
      <c r="B227" t="s">
        <v>799</v>
      </c>
      <c r="C227" s="16">
        <v>8.5530000000000008</v>
      </c>
      <c r="D227" s="12">
        <v>1</v>
      </c>
      <c r="E227" s="16">
        <v>6.1</v>
      </c>
      <c r="F227" s="16">
        <v>8.3000000000000007</v>
      </c>
      <c r="G227" s="16">
        <v>8.3030000000000008</v>
      </c>
      <c r="H227" s="16">
        <v>8.3030000000000008</v>
      </c>
      <c r="I227" s="12">
        <v>1</v>
      </c>
      <c r="J227" s="16">
        <v>5.0999999999999996</v>
      </c>
      <c r="K227" s="16">
        <v>8.3000000000000007</v>
      </c>
      <c r="L227" s="33">
        <f t="shared" si="3"/>
        <v>1</v>
      </c>
    </row>
    <row r="228" spans="1:12" x14ac:dyDescent="0.25">
      <c r="A228">
        <v>227</v>
      </c>
      <c r="B228" t="s">
        <v>783</v>
      </c>
      <c r="C228" s="16">
        <v>8.5519999999999996</v>
      </c>
      <c r="D228" s="12">
        <v>1</v>
      </c>
      <c r="E228" s="16">
        <v>6.1</v>
      </c>
      <c r="F228" s="16">
        <v>8.3000000000000007</v>
      </c>
      <c r="G228" s="16">
        <v>8.3019999999999996</v>
      </c>
      <c r="H228" s="16">
        <v>8.3019999999999996</v>
      </c>
      <c r="I228" s="12">
        <v>1</v>
      </c>
      <c r="J228" s="16">
        <v>5.0999999999999996</v>
      </c>
      <c r="K228" s="16">
        <v>8.3000000000000007</v>
      </c>
      <c r="L228" s="33">
        <f t="shared" si="3"/>
        <v>1</v>
      </c>
    </row>
    <row r="229" spans="1:12" x14ac:dyDescent="0.25">
      <c r="A229">
        <v>228</v>
      </c>
      <c r="B229" t="s">
        <v>597</v>
      </c>
      <c r="C229" s="16">
        <v>28.392000000000003</v>
      </c>
      <c r="D229" s="4">
        <v>4</v>
      </c>
      <c r="E229" s="16">
        <v>6.5</v>
      </c>
      <c r="F229" s="16">
        <v>6.5</v>
      </c>
      <c r="G229" s="16">
        <v>26.017000000000003</v>
      </c>
      <c r="H229" s="16">
        <v>7.806</v>
      </c>
      <c r="I229" s="12">
        <v>1</v>
      </c>
      <c r="J229" s="16">
        <v>5.0999999999999996</v>
      </c>
      <c r="K229" s="16">
        <v>7.8</v>
      </c>
      <c r="L229" s="33">
        <f t="shared" si="3"/>
        <v>0.25</v>
      </c>
    </row>
    <row r="230" spans="1:12" x14ac:dyDescent="0.25">
      <c r="A230">
        <v>229</v>
      </c>
      <c r="B230" t="s">
        <v>350</v>
      </c>
      <c r="C230" s="16">
        <v>21.030999999999999</v>
      </c>
      <c r="D230" s="12">
        <v>3</v>
      </c>
      <c r="E230" s="16">
        <v>6.2</v>
      </c>
      <c r="F230" s="16">
        <v>6.6</v>
      </c>
      <c r="G230" s="16">
        <v>19.905999999999999</v>
      </c>
      <c r="H230" s="16">
        <v>7.8040000000000003</v>
      </c>
      <c r="I230" s="12">
        <v>1</v>
      </c>
      <c r="J230" s="16">
        <v>5.0999999999999996</v>
      </c>
      <c r="K230" s="16">
        <v>7.8</v>
      </c>
      <c r="L230" s="33">
        <f t="shared" si="3"/>
        <v>0.33333333333333331</v>
      </c>
    </row>
    <row r="231" spans="1:12" x14ac:dyDescent="0.25">
      <c r="A231">
        <v>230</v>
      </c>
      <c r="B231" t="s">
        <v>70</v>
      </c>
      <c r="C231" s="16">
        <v>16.161999999999999</v>
      </c>
      <c r="D231" s="12">
        <v>2</v>
      </c>
      <c r="E231" s="16">
        <v>6.8</v>
      </c>
      <c r="F231" s="16">
        <v>7.7</v>
      </c>
      <c r="G231" s="16">
        <v>15.411999999999999</v>
      </c>
      <c r="H231" s="16">
        <v>8.5060000000000002</v>
      </c>
      <c r="I231" s="12">
        <v>1</v>
      </c>
      <c r="J231" s="16">
        <v>5</v>
      </c>
      <c r="K231" s="16">
        <v>8.5</v>
      </c>
      <c r="L231" s="33">
        <f t="shared" si="3"/>
        <v>0.5</v>
      </c>
    </row>
    <row r="232" spans="1:12" x14ac:dyDescent="0.25">
      <c r="A232">
        <v>231</v>
      </c>
      <c r="B232" t="s">
        <v>302</v>
      </c>
      <c r="C232" s="16">
        <v>8.5050000000000008</v>
      </c>
      <c r="D232" s="12">
        <v>1</v>
      </c>
      <c r="E232" s="16">
        <v>6</v>
      </c>
      <c r="F232" s="16">
        <v>8.5</v>
      </c>
      <c r="G232" s="16">
        <v>8.5050000000000008</v>
      </c>
      <c r="H232" s="16">
        <v>8.5050000000000008</v>
      </c>
      <c r="I232" s="12">
        <v>1</v>
      </c>
      <c r="J232" s="16">
        <v>5</v>
      </c>
      <c r="K232" s="16">
        <v>8.5</v>
      </c>
      <c r="L232" s="33">
        <f t="shared" si="3"/>
        <v>1</v>
      </c>
    </row>
    <row r="233" spans="1:12" x14ac:dyDescent="0.25">
      <c r="A233">
        <v>232</v>
      </c>
      <c r="B233" t="s">
        <v>894</v>
      </c>
      <c r="C233" s="16">
        <v>8.5039999999999996</v>
      </c>
      <c r="D233" s="12">
        <v>1</v>
      </c>
      <c r="E233" s="16">
        <v>6</v>
      </c>
      <c r="F233" s="16">
        <v>8.5</v>
      </c>
      <c r="G233" s="16">
        <v>8.5039999999999996</v>
      </c>
      <c r="H233" s="16">
        <v>8.5039999999999996</v>
      </c>
      <c r="I233" s="12">
        <v>1</v>
      </c>
      <c r="J233" s="16">
        <v>5</v>
      </c>
      <c r="K233" s="16">
        <v>8.5</v>
      </c>
      <c r="L233" s="33">
        <f t="shared" si="3"/>
        <v>1</v>
      </c>
    </row>
    <row r="234" spans="1:12" x14ac:dyDescent="0.25">
      <c r="A234">
        <v>233</v>
      </c>
      <c r="B234" t="s">
        <v>1234</v>
      </c>
      <c r="C234" s="16">
        <v>8.5030000000000001</v>
      </c>
      <c r="D234" s="12">
        <v>1</v>
      </c>
      <c r="E234" s="16">
        <v>6</v>
      </c>
      <c r="F234" s="16">
        <v>8.5</v>
      </c>
      <c r="G234" s="16">
        <v>8.5030000000000001</v>
      </c>
      <c r="H234" s="16">
        <v>8.5030000000000001</v>
      </c>
      <c r="I234" s="12">
        <v>1</v>
      </c>
      <c r="J234" s="16">
        <v>5</v>
      </c>
      <c r="K234" s="16">
        <v>8.5</v>
      </c>
      <c r="L234" s="33">
        <f t="shared" si="3"/>
        <v>1</v>
      </c>
    </row>
    <row r="235" spans="1:12" x14ac:dyDescent="0.25">
      <c r="A235">
        <v>234</v>
      </c>
      <c r="B235" t="s">
        <v>657</v>
      </c>
      <c r="C235" s="16">
        <v>8.5020000000000007</v>
      </c>
      <c r="D235" s="12">
        <v>1</v>
      </c>
      <c r="E235" s="16">
        <v>6</v>
      </c>
      <c r="F235" s="16">
        <v>8.5</v>
      </c>
      <c r="G235" s="16">
        <v>8.5020000000000007</v>
      </c>
      <c r="H235" s="16">
        <v>8.5020000000000007</v>
      </c>
      <c r="I235" s="12">
        <v>1</v>
      </c>
      <c r="J235" s="16">
        <v>5</v>
      </c>
      <c r="K235" s="16">
        <v>8.5</v>
      </c>
      <c r="L235" s="33">
        <f t="shared" si="3"/>
        <v>1</v>
      </c>
    </row>
    <row r="236" spans="1:12" x14ac:dyDescent="0.25">
      <c r="A236">
        <v>235</v>
      </c>
      <c r="B236" t="s">
        <v>263</v>
      </c>
      <c r="C236" s="16">
        <v>8.5009999999999994</v>
      </c>
      <c r="D236" s="12">
        <v>1</v>
      </c>
      <c r="E236" s="16">
        <v>6</v>
      </c>
      <c r="F236" s="16">
        <v>8.5</v>
      </c>
      <c r="G236" s="16">
        <v>8.5009999999999994</v>
      </c>
      <c r="H236" s="16">
        <v>8.5009999999999994</v>
      </c>
      <c r="I236" s="12">
        <v>1</v>
      </c>
      <c r="J236" s="16">
        <v>5</v>
      </c>
      <c r="K236" s="16">
        <v>8.5</v>
      </c>
      <c r="L236" s="33">
        <f t="shared" si="3"/>
        <v>1</v>
      </c>
    </row>
    <row r="237" spans="1:12" x14ac:dyDescent="0.25">
      <c r="A237">
        <v>236</v>
      </c>
      <c r="B237" t="s">
        <v>280</v>
      </c>
      <c r="C237" s="16">
        <v>8.5310000000000006</v>
      </c>
      <c r="D237" s="12">
        <v>1</v>
      </c>
      <c r="E237" s="16">
        <v>6</v>
      </c>
      <c r="F237" s="16">
        <v>8.4</v>
      </c>
      <c r="G237" s="16">
        <v>8.4060000000000006</v>
      </c>
      <c r="H237" s="16">
        <v>8.4060000000000006</v>
      </c>
      <c r="I237" s="12">
        <v>1</v>
      </c>
      <c r="J237" s="16">
        <v>5</v>
      </c>
      <c r="K237" s="16">
        <v>8.4</v>
      </c>
      <c r="L237" s="33">
        <f t="shared" si="3"/>
        <v>1</v>
      </c>
    </row>
    <row r="238" spans="1:12" x14ac:dyDescent="0.25">
      <c r="A238">
        <v>237</v>
      </c>
      <c r="B238" t="s">
        <v>1076</v>
      </c>
      <c r="C238" s="16">
        <v>8.5299999999999994</v>
      </c>
      <c r="D238" s="12">
        <v>1</v>
      </c>
      <c r="E238" s="16">
        <v>6</v>
      </c>
      <c r="F238" s="16">
        <v>8.4</v>
      </c>
      <c r="G238" s="16">
        <v>8.4049999999999994</v>
      </c>
      <c r="H238" s="16">
        <v>8.4049999999999994</v>
      </c>
      <c r="I238" s="12">
        <v>1</v>
      </c>
      <c r="J238" s="16">
        <v>5</v>
      </c>
      <c r="K238" s="16">
        <v>8.4</v>
      </c>
      <c r="L238" s="33">
        <f t="shared" si="3"/>
        <v>1</v>
      </c>
    </row>
    <row r="239" spans="1:12" x14ac:dyDescent="0.25">
      <c r="A239">
        <v>238</v>
      </c>
      <c r="B239" s="10" t="s">
        <v>1023</v>
      </c>
      <c r="C239" s="16">
        <v>8.5280000000000005</v>
      </c>
      <c r="D239" s="12">
        <v>1</v>
      </c>
      <c r="E239" s="16">
        <v>6</v>
      </c>
      <c r="F239" s="16">
        <v>8.4</v>
      </c>
      <c r="G239" s="16">
        <v>8.4030000000000005</v>
      </c>
      <c r="H239" s="16">
        <v>8.4030000000000005</v>
      </c>
      <c r="I239" s="12">
        <v>1</v>
      </c>
      <c r="J239" s="16">
        <v>5</v>
      </c>
      <c r="K239" s="16">
        <v>8.4</v>
      </c>
      <c r="L239" s="33">
        <f t="shared" si="3"/>
        <v>1</v>
      </c>
    </row>
    <row r="240" spans="1:12" x14ac:dyDescent="0.25">
      <c r="A240">
        <v>239</v>
      </c>
      <c r="B240" t="s">
        <v>436</v>
      </c>
      <c r="C240" s="16">
        <v>8.5269999999999992</v>
      </c>
      <c r="D240" s="12">
        <v>1</v>
      </c>
      <c r="E240" s="16">
        <v>6</v>
      </c>
      <c r="F240" s="16">
        <v>8.4</v>
      </c>
      <c r="G240" s="16">
        <v>8.4019999999999992</v>
      </c>
      <c r="H240" s="16">
        <v>8.4019999999999992</v>
      </c>
      <c r="I240" s="12">
        <v>1</v>
      </c>
      <c r="J240" s="16">
        <v>5</v>
      </c>
      <c r="K240" s="16">
        <v>8.4</v>
      </c>
      <c r="L240" s="33">
        <f t="shared" si="3"/>
        <v>1</v>
      </c>
    </row>
    <row r="241" spans="1:12" x14ac:dyDescent="0.25">
      <c r="A241">
        <v>240</v>
      </c>
      <c r="B241" t="s">
        <v>494</v>
      </c>
      <c r="C241" s="16">
        <v>8.452</v>
      </c>
      <c r="D241" s="12">
        <v>1</v>
      </c>
      <c r="E241" s="16">
        <v>6</v>
      </c>
      <c r="F241" s="16">
        <v>8.1999999999999993</v>
      </c>
      <c r="G241" s="16">
        <v>8.202</v>
      </c>
      <c r="H241" s="16">
        <v>8.202</v>
      </c>
      <c r="I241" s="12">
        <v>1</v>
      </c>
      <c r="J241" s="16">
        <v>5</v>
      </c>
      <c r="K241" s="16">
        <v>8.1999999999999993</v>
      </c>
      <c r="L241" s="33">
        <f t="shared" si="3"/>
        <v>1</v>
      </c>
    </row>
    <row r="242" spans="1:12" x14ac:dyDescent="0.25">
      <c r="A242">
        <v>241</v>
      </c>
      <c r="B242" t="s">
        <v>1128</v>
      </c>
      <c r="C242" s="16">
        <v>8.4510000000000005</v>
      </c>
      <c r="D242" s="12">
        <v>1</v>
      </c>
      <c r="E242" s="16">
        <v>6</v>
      </c>
      <c r="F242" s="16">
        <v>8.1999999999999993</v>
      </c>
      <c r="G242" s="16">
        <v>8.2010000000000005</v>
      </c>
      <c r="H242" s="16">
        <v>8.2010000000000005</v>
      </c>
      <c r="I242" s="12">
        <v>1</v>
      </c>
      <c r="J242" s="16">
        <v>5</v>
      </c>
      <c r="K242" s="16">
        <v>8.1999999999999993</v>
      </c>
      <c r="L242" s="33">
        <f t="shared" si="3"/>
        <v>1</v>
      </c>
    </row>
    <row r="243" spans="1:12" x14ac:dyDescent="0.25">
      <c r="A243">
        <v>242</v>
      </c>
      <c r="B243" t="s">
        <v>438</v>
      </c>
      <c r="C243" s="16">
        <v>8.4540000000000006</v>
      </c>
      <c r="D243" s="12">
        <v>1</v>
      </c>
      <c r="E243" s="16">
        <v>6</v>
      </c>
      <c r="F243" s="16">
        <v>7.7</v>
      </c>
      <c r="G243" s="16">
        <v>7.7039999999999997</v>
      </c>
      <c r="H243" s="16">
        <v>7.7039999999999997</v>
      </c>
      <c r="I243" s="12">
        <v>1</v>
      </c>
      <c r="J243" s="16">
        <v>5</v>
      </c>
      <c r="K243" s="16">
        <v>7.7</v>
      </c>
      <c r="L243" s="33">
        <f t="shared" si="3"/>
        <v>1</v>
      </c>
    </row>
    <row r="244" spans="1:12" x14ac:dyDescent="0.25">
      <c r="A244">
        <v>243</v>
      </c>
      <c r="B244" t="s">
        <v>976</v>
      </c>
      <c r="C244" s="16">
        <v>14.004999999999999</v>
      </c>
      <c r="D244" s="12">
        <v>2</v>
      </c>
      <c r="E244" s="16">
        <v>5.8</v>
      </c>
      <c r="F244" s="16">
        <v>6.5</v>
      </c>
      <c r="G244" s="16">
        <v>13.004999999999999</v>
      </c>
      <c r="H244" s="16">
        <v>7.702</v>
      </c>
      <c r="I244" s="12">
        <v>1</v>
      </c>
      <c r="J244" s="16">
        <v>5</v>
      </c>
      <c r="K244" s="16">
        <v>7.7</v>
      </c>
      <c r="L244" s="33">
        <f t="shared" si="3"/>
        <v>0.5</v>
      </c>
    </row>
    <row r="245" spans="1:12" x14ac:dyDescent="0.25">
      <c r="A245">
        <v>244</v>
      </c>
      <c r="B245" t="s">
        <v>1104</v>
      </c>
      <c r="C245" s="16">
        <v>8.407</v>
      </c>
      <c r="D245" s="12">
        <v>1</v>
      </c>
      <c r="E245" s="16">
        <v>5.9</v>
      </c>
      <c r="F245" s="16">
        <v>8.4</v>
      </c>
      <c r="G245" s="16">
        <v>8.407</v>
      </c>
      <c r="H245" s="16">
        <v>8.407</v>
      </c>
      <c r="I245" s="12">
        <v>1</v>
      </c>
      <c r="J245" s="16">
        <v>4.9000000000000004</v>
      </c>
      <c r="K245" s="16">
        <v>8.4</v>
      </c>
      <c r="L245" s="33">
        <f t="shared" si="3"/>
        <v>1</v>
      </c>
    </row>
    <row r="246" spans="1:12" x14ac:dyDescent="0.25">
      <c r="A246">
        <v>245</v>
      </c>
      <c r="B246" t="s">
        <v>281</v>
      </c>
      <c r="C246" s="16">
        <v>8.4060000000000006</v>
      </c>
      <c r="D246" s="12">
        <v>1</v>
      </c>
      <c r="E246" s="16">
        <v>5.9</v>
      </c>
      <c r="F246" s="16">
        <v>8.4</v>
      </c>
      <c r="G246" s="16">
        <v>8.4060000000000006</v>
      </c>
      <c r="H246" s="16">
        <v>8.4060000000000006</v>
      </c>
      <c r="I246" s="12">
        <v>1</v>
      </c>
      <c r="J246" s="16">
        <v>4.9000000000000004</v>
      </c>
      <c r="K246" s="16">
        <v>8.4</v>
      </c>
      <c r="L246" s="33">
        <f t="shared" si="3"/>
        <v>1</v>
      </c>
    </row>
    <row r="247" spans="1:12" x14ac:dyDescent="0.25">
      <c r="A247">
        <v>246</v>
      </c>
      <c r="B247" t="s">
        <v>1077</v>
      </c>
      <c r="C247" s="16">
        <v>8.4049999999999994</v>
      </c>
      <c r="D247" s="12">
        <v>1</v>
      </c>
      <c r="E247" s="16">
        <v>5.9</v>
      </c>
      <c r="F247" s="16">
        <v>8.4</v>
      </c>
      <c r="G247" s="16">
        <v>8.4049999999999994</v>
      </c>
      <c r="H247" s="16">
        <v>8.4049999999999994</v>
      </c>
      <c r="I247" s="12">
        <v>1</v>
      </c>
      <c r="J247" s="16">
        <v>4.9000000000000004</v>
      </c>
      <c r="K247" s="16">
        <v>8.4</v>
      </c>
      <c r="L247" s="33">
        <f t="shared" si="3"/>
        <v>1</v>
      </c>
    </row>
    <row r="248" spans="1:12" x14ac:dyDescent="0.25">
      <c r="A248">
        <v>247</v>
      </c>
      <c r="B248" s="10" t="s">
        <v>779</v>
      </c>
      <c r="C248" s="16">
        <v>14.555</v>
      </c>
      <c r="D248" s="12">
        <v>2</v>
      </c>
      <c r="E248" s="16">
        <v>6</v>
      </c>
      <c r="F248" s="16">
        <v>7.2</v>
      </c>
      <c r="G248" s="16">
        <v>14.305</v>
      </c>
      <c r="H248" s="16">
        <v>8.4019999999999992</v>
      </c>
      <c r="I248" s="12">
        <v>1</v>
      </c>
      <c r="J248" s="16">
        <v>4.9000000000000004</v>
      </c>
      <c r="K248" s="16">
        <v>8.4</v>
      </c>
      <c r="L248" s="33">
        <f t="shared" si="3"/>
        <v>0.5</v>
      </c>
    </row>
    <row r="249" spans="1:12" x14ac:dyDescent="0.25">
      <c r="A249">
        <v>248</v>
      </c>
      <c r="B249" t="s">
        <v>437</v>
      </c>
      <c r="C249" s="16">
        <v>8.4019999999999992</v>
      </c>
      <c r="D249" s="12">
        <v>1</v>
      </c>
      <c r="E249" s="16">
        <v>5.9</v>
      </c>
      <c r="F249" s="16">
        <v>8.4</v>
      </c>
      <c r="G249" s="16">
        <v>8.4019999999999992</v>
      </c>
      <c r="H249" s="16">
        <v>8.4019999999999992</v>
      </c>
      <c r="I249" s="12">
        <v>1</v>
      </c>
      <c r="J249" s="16">
        <v>4.9000000000000004</v>
      </c>
      <c r="K249" s="16">
        <v>8.4</v>
      </c>
      <c r="L249" s="33">
        <f t="shared" si="3"/>
        <v>1</v>
      </c>
    </row>
    <row r="250" spans="1:12" x14ac:dyDescent="0.25">
      <c r="A250">
        <v>249</v>
      </c>
      <c r="B250" t="s">
        <v>1183</v>
      </c>
      <c r="C250" s="16">
        <v>8.43</v>
      </c>
      <c r="D250" s="12">
        <v>1</v>
      </c>
      <c r="E250" s="16">
        <v>5.9</v>
      </c>
      <c r="F250" s="16">
        <v>8.3000000000000007</v>
      </c>
      <c r="G250" s="16">
        <v>8.3049999999999997</v>
      </c>
      <c r="H250" s="16">
        <v>8.3049999999999997</v>
      </c>
      <c r="I250" s="12">
        <v>1</v>
      </c>
      <c r="J250" s="16">
        <v>4.9000000000000004</v>
      </c>
      <c r="K250" s="16">
        <v>8.3000000000000007</v>
      </c>
      <c r="L250" s="33">
        <f t="shared" si="3"/>
        <v>1</v>
      </c>
    </row>
    <row r="251" spans="1:12" x14ac:dyDescent="0.25">
      <c r="A251">
        <v>250</v>
      </c>
      <c r="B251" t="s">
        <v>191</v>
      </c>
      <c r="C251" s="16">
        <v>8.4290000000000003</v>
      </c>
      <c r="D251" s="12">
        <v>1</v>
      </c>
      <c r="E251" s="16">
        <v>5.9</v>
      </c>
      <c r="F251" s="16">
        <v>8.3000000000000007</v>
      </c>
      <c r="G251" s="16">
        <v>8.3040000000000003</v>
      </c>
      <c r="H251" s="16">
        <v>8.3040000000000003</v>
      </c>
      <c r="I251" s="12">
        <v>1</v>
      </c>
      <c r="J251" s="16">
        <v>4.9000000000000004</v>
      </c>
      <c r="K251" s="16">
        <v>8.3000000000000007</v>
      </c>
      <c r="L251" s="33">
        <f t="shared" si="3"/>
        <v>1</v>
      </c>
    </row>
    <row r="252" spans="1:12" x14ac:dyDescent="0.25">
      <c r="A252">
        <v>251</v>
      </c>
      <c r="B252" t="s">
        <v>890</v>
      </c>
      <c r="C252" s="16">
        <v>8.4269999999999996</v>
      </c>
      <c r="D252" s="12">
        <v>1</v>
      </c>
      <c r="E252" s="16">
        <v>5.9</v>
      </c>
      <c r="F252" s="16">
        <v>8.3000000000000007</v>
      </c>
      <c r="G252" s="16">
        <v>8.3019999999999996</v>
      </c>
      <c r="H252" s="16">
        <v>8.3019999999999996</v>
      </c>
      <c r="I252" s="12">
        <v>1</v>
      </c>
      <c r="J252" s="16">
        <v>4.9000000000000004</v>
      </c>
      <c r="K252" s="16">
        <v>8.3000000000000007</v>
      </c>
      <c r="L252" s="33">
        <f t="shared" si="3"/>
        <v>1</v>
      </c>
    </row>
    <row r="253" spans="1:12" x14ac:dyDescent="0.25">
      <c r="A253">
        <v>252</v>
      </c>
      <c r="B253" t="s">
        <v>275</v>
      </c>
      <c r="C253" s="16">
        <v>8.3569999999999993</v>
      </c>
      <c r="D253" s="12">
        <v>1</v>
      </c>
      <c r="E253" s="16">
        <v>5.9</v>
      </c>
      <c r="F253" s="16">
        <v>8.1</v>
      </c>
      <c r="G253" s="16">
        <v>8.1069999999999993</v>
      </c>
      <c r="H253" s="16">
        <v>8.1069999999999993</v>
      </c>
      <c r="I253" s="12">
        <v>1</v>
      </c>
      <c r="J253" s="16">
        <v>4.9000000000000004</v>
      </c>
      <c r="K253" s="16">
        <v>8.1</v>
      </c>
      <c r="L253" s="33">
        <f t="shared" si="3"/>
        <v>1</v>
      </c>
    </row>
    <row r="254" spans="1:12" x14ac:dyDescent="0.25">
      <c r="A254">
        <v>253</v>
      </c>
      <c r="B254" t="s">
        <v>303</v>
      </c>
      <c r="C254" s="16">
        <v>14.483000000000001</v>
      </c>
      <c r="D254" s="12">
        <v>2</v>
      </c>
      <c r="E254" s="16">
        <v>6</v>
      </c>
      <c r="F254" s="16">
        <v>7.1</v>
      </c>
      <c r="G254" s="16">
        <v>14.108000000000001</v>
      </c>
      <c r="H254" s="16">
        <v>8.1050000000000004</v>
      </c>
      <c r="I254" s="12">
        <v>1</v>
      </c>
      <c r="J254" s="16">
        <v>4.9000000000000004</v>
      </c>
      <c r="K254" s="16">
        <v>8.1</v>
      </c>
      <c r="L254" s="33">
        <f t="shared" si="3"/>
        <v>0.5</v>
      </c>
    </row>
    <row r="255" spans="1:12" x14ac:dyDescent="0.25">
      <c r="A255">
        <v>254</v>
      </c>
      <c r="B255" t="s">
        <v>964</v>
      </c>
      <c r="C255" s="16">
        <v>8.3539999999999992</v>
      </c>
      <c r="D255" s="12">
        <v>1</v>
      </c>
      <c r="E255" s="16">
        <v>5.9</v>
      </c>
      <c r="F255" s="16">
        <v>8.1</v>
      </c>
      <c r="G255" s="16">
        <v>8.1039999999999992</v>
      </c>
      <c r="H255" s="16">
        <v>8.1039999999999992</v>
      </c>
      <c r="I255" s="12">
        <v>1</v>
      </c>
      <c r="J255" s="16">
        <v>4.9000000000000004</v>
      </c>
      <c r="K255" s="16">
        <v>8.1</v>
      </c>
      <c r="L255" s="33">
        <f t="shared" si="3"/>
        <v>1</v>
      </c>
    </row>
    <row r="256" spans="1:12" x14ac:dyDescent="0.25">
      <c r="A256">
        <v>255</v>
      </c>
      <c r="B256" t="s">
        <v>445</v>
      </c>
      <c r="C256" s="16">
        <v>13.053000000000001</v>
      </c>
      <c r="D256" s="12">
        <v>2</v>
      </c>
      <c r="E256" s="16">
        <v>5.3</v>
      </c>
      <c r="F256" s="16">
        <v>6.4</v>
      </c>
      <c r="G256" s="16">
        <v>12.803000000000001</v>
      </c>
      <c r="H256" s="16">
        <v>8.1029999999999998</v>
      </c>
      <c r="I256" s="12">
        <v>1</v>
      </c>
      <c r="J256" s="16">
        <v>4.9000000000000004</v>
      </c>
      <c r="K256" s="16">
        <v>8.1</v>
      </c>
      <c r="L256" s="33">
        <f t="shared" si="3"/>
        <v>0.5</v>
      </c>
    </row>
    <row r="257" spans="1:12" x14ac:dyDescent="0.25">
      <c r="A257">
        <v>256</v>
      </c>
      <c r="B257" s="10" t="s">
        <v>1333</v>
      </c>
      <c r="C257" s="16">
        <v>8.3520000000000003</v>
      </c>
      <c r="D257" s="12">
        <v>1</v>
      </c>
      <c r="E257" s="16">
        <v>5.9</v>
      </c>
      <c r="F257" s="16">
        <v>8.1</v>
      </c>
      <c r="G257" s="16">
        <v>8.1020000000000003</v>
      </c>
      <c r="H257" s="16">
        <v>8.1020000000000003</v>
      </c>
      <c r="I257" s="12">
        <v>1</v>
      </c>
      <c r="J257" s="16">
        <v>4.9000000000000004</v>
      </c>
      <c r="K257" s="16">
        <v>8.1</v>
      </c>
      <c r="L257" s="33">
        <f t="shared" si="3"/>
        <v>1</v>
      </c>
    </row>
    <row r="258" spans="1:12" x14ac:dyDescent="0.25">
      <c r="A258">
        <v>257</v>
      </c>
      <c r="B258" s="10" t="s">
        <v>1184</v>
      </c>
      <c r="C258" s="16">
        <v>8.3510000000000009</v>
      </c>
      <c r="D258" s="12">
        <v>1</v>
      </c>
      <c r="E258" s="16">
        <v>5.9</v>
      </c>
      <c r="F258" s="16">
        <v>8.1</v>
      </c>
      <c r="G258" s="16">
        <v>8.1010000000000009</v>
      </c>
      <c r="H258" s="16">
        <v>8.1010000000000009</v>
      </c>
      <c r="I258" s="12">
        <v>1</v>
      </c>
      <c r="J258" s="16">
        <v>4.9000000000000004</v>
      </c>
      <c r="K258" s="16">
        <v>8.1</v>
      </c>
      <c r="L258" s="33">
        <f t="shared" ref="L258:L321" si="4">I258/D258</f>
        <v>1</v>
      </c>
    </row>
    <row r="259" spans="1:12" x14ac:dyDescent="0.25">
      <c r="A259">
        <v>258</v>
      </c>
      <c r="B259" t="s">
        <v>1326</v>
      </c>
      <c r="C259" s="16">
        <v>15.507999999999999</v>
      </c>
      <c r="D259" s="12">
        <v>2</v>
      </c>
      <c r="E259" s="16">
        <v>6.5</v>
      </c>
      <c r="F259" s="16">
        <v>7.3</v>
      </c>
      <c r="G259" s="16">
        <v>14.507999999999999</v>
      </c>
      <c r="H259" s="16">
        <v>7.6029999999999998</v>
      </c>
      <c r="I259" s="12">
        <v>1</v>
      </c>
      <c r="J259" s="16">
        <v>4.9000000000000004</v>
      </c>
      <c r="K259" s="16">
        <v>7.6</v>
      </c>
      <c r="L259" s="33">
        <f t="shared" si="4"/>
        <v>0.5</v>
      </c>
    </row>
    <row r="260" spans="1:12" x14ac:dyDescent="0.25">
      <c r="A260">
        <v>259</v>
      </c>
      <c r="B260" s="10" t="s">
        <v>1134</v>
      </c>
      <c r="C260" s="16">
        <v>14.305</v>
      </c>
      <c r="D260" s="12">
        <v>2</v>
      </c>
      <c r="E260" s="16">
        <v>5.9</v>
      </c>
      <c r="F260" s="16">
        <v>6.7</v>
      </c>
      <c r="G260" s="16">
        <v>13.305</v>
      </c>
      <c r="H260" s="16">
        <v>7.601</v>
      </c>
      <c r="I260" s="12">
        <v>1</v>
      </c>
      <c r="J260" s="16">
        <v>4.9000000000000004</v>
      </c>
      <c r="K260" s="16">
        <v>7.6</v>
      </c>
      <c r="L260" s="33">
        <f t="shared" si="4"/>
        <v>0.5</v>
      </c>
    </row>
    <row r="261" spans="1:12" x14ac:dyDescent="0.25">
      <c r="A261">
        <v>260</v>
      </c>
      <c r="B261" t="s">
        <v>968</v>
      </c>
      <c r="C261" s="16">
        <v>8.3059999999999992</v>
      </c>
      <c r="D261" s="12">
        <v>1</v>
      </c>
      <c r="E261" s="16">
        <v>5.8</v>
      </c>
      <c r="F261" s="16">
        <v>8.3000000000000007</v>
      </c>
      <c r="G261" s="16">
        <v>8.3059999999999992</v>
      </c>
      <c r="H261" s="16">
        <v>8.3059999999999992</v>
      </c>
      <c r="I261" s="12">
        <v>1</v>
      </c>
      <c r="J261" s="16">
        <v>4.8</v>
      </c>
      <c r="K261" s="16">
        <v>8.3000000000000007</v>
      </c>
      <c r="L261" s="33">
        <f t="shared" si="4"/>
        <v>1</v>
      </c>
    </row>
    <row r="262" spans="1:12" x14ac:dyDescent="0.25">
      <c r="A262">
        <v>261</v>
      </c>
      <c r="B262" t="s">
        <v>564</v>
      </c>
      <c r="C262" s="16">
        <v>8.3049999999999997</v>
      </c>
      <c r="D262" s="12">
        <v>1</v>
      </c>
      <c r="E262" s="16">
        <v>5.8</v>
      </c>
      <c r="F262" s="16">
        <v>8.3000000000000007</v>
      </c>
      <c r="G262" s="16">
        <v>8.3049999999999997</v>
      </c>
      <c r="H262" s="16">
        <v>8.3049999999999997</v>
      </c>
      <c r="I262" s="12">
        <v>1</v>
      </c>
      <c r="J262" s="16">
        <v>4.8</v>
      </c>
      <c r="K262" s="16">
        <v>8.3000000000000007</v>
      </c>
      <c r="L262" s="33">
        <f t="shared" si="4"/>
        <v>1</v>
      </c>
    </row>
    <row r="263" spans="1:12" x14ac:dyDescent="0.25">
      <c r="A263">
        <v>262</v>
      </c>
      <c r="B263" t="s">
        <v>305</v>
      </c>
      <c r="C263" s="16">
        <v>8.3040000000000003</v>
      </c>
      <c r="D263" s="12">
        <v>1</v>
      </c>
      <c r="E263" s="16">
        <v>5.8</v>
      </c>
      <c r="F263" s="16">
        <v>8.3000000000000007</v>
      </c>
      <c r="G263" s="16">
        <v>8.3040000000000003</v>
      </c>
      <c r="H263" s="16">
        <v>8.3040000000000003</v>
      </c>
      <c r="I263" s="12">
        <v>1</v>
      </c>
      <c r="J263" s="16">
        <v>4.8</v>
      </c>
      <c r="K263" s="16">
        <v>8.3000000000000007</v>
      </c>
      <c r="L263" s="33">
        <f t="shared" si="4"/>
        <v>1</v>
      </c>
    </row>
    <row r="264" spans="1:12" x14ac:dyDescent="0.25">
      <c r="A264">
        <v>263</v>
      </c>
      <c r="B264" t="s">
        <v>1264</v>
      </c>
      <c r="C264" s="16">
        <v>8.3010000000000002</v>
      </c>
      <c r="D264" s="12">
        <v>1</v>
      </c>
      <c r="E264" s="16">
        <v>5.8</v>
      </c>
      <c r="F264" s="16">
        <v>8.3000000000000007</v>
      </c>
      <c r="G264" s="16">
        <v>8.3010000000000002</v>
      </c>
      <c r="H264" s="16">
        <v>8.3010000000000002</v>
      </c>
      <c r="I264" s="12">
        <v>1</v>
      </c>
      <c r="J264" s="16">
        <v>4.8</v>
      </c>
      <c r="K264" s="16">
        <v>8.3000000000000007</v>
      </c>
      <c r="L264" s="33">
        <f t="shared" si="4"/>
        <v>1</v>
      </c>
    </row>
    <row r="265" spans="1:12" x14ac:dyDescent="0.25">
      <c r="A265">
        <v>264</v>
      </c>
      <c r="B265" t="s">
        <v>1294</v>
      </c>
      <c r="C265" s="16">
        <v>8.3320000000000007</v>
      </c>
      <c r="D265" s="12">
        <v>1</v>
      </c>
      <c r="E265" s="16">
        <v>5.8</v>
      </c>
      <c r="F265" s="16">
        <v>8.1999999999999993</v>
      </c>
      <c r="G265" s="16">
        <v>8.2070000000000007</v>
      </c>
      <c r="H265" s="16">
        <v>8.2070000000000007</v>
      </c>
      <c r="I265" s="12">
        <v>1</v>
      </c>
      <c r="J265" s="16">
        <v>4.8</v>
      </c>
      <c r="K265" s="16">
        <v>8.1999999999999993</v>
      </c>
      <c r="L265" s="33">
        <f t="shared" si="4"/>
        <v>1</v>
      </c>
    </row>
    <row r="266" spans="1:12" x14ac:dyDescent="0.25">
      <c r="A266">
        <v>265</v>
      </c>
      <c r="B266" s="10" t="s">
        <v>424</v>
      </c>
      <c r="C266" s="16">
        <v>8.33</v>
      </c>
      <c r="D266" s="12">
        <v>1</v>
      </c>
      <c r="E266" s="16">
        <v>5.8</v>
      </c>
      <c r="F266" s="16">
        <v>8.1999999999999993</v>
      </c>
      <c r="G266" s="16">
        <v>8.2050000000000001</v>
      </c>
      <c r="H266" s="16">
        <v>8.2050000000000001</v>
      </c>
      <c r="I266" s="12">
        <v>1</v>
      </c>
      <c r="J266" s="16">
        <v>4.8</v>
      </c>
      <c r="K266" s="16">
        <v>8.1999999999999993</v>
      </c>
      <c r="L266" s="33">
        <f t="shared" si="4"/>
        <v>1</v>
      </c>
    </row>
    <row r="267" spans="1:12" x14ac:dyDescent="0.25">
      <c r="A267">
        <v>266</v>
      </c>
      <c r="B267" t="s">
        <v>1102</v>
      </c>
      <c r="C267" s="16">
        <v>8.3279999999999994</v>
      </c>
      <c r="D267" s="12">
        <v>1</v>
      </c>
      <c r="E267" s="16">
        <v>5.8</v>
      </c>
      <c r="F267" s="16">
        <v>8.1999999999999993</v>
      </c>
      <c r="G267" s="16">
        <v>8.2029999999999994</v>
      </c>
      <c r="H267" s="16">
        <v>8.2029999999999994</v>
      </c>
      <c r="I267" s="12">
        <v>1</v>
      </c>
      <c r="J267" s="16">
        <v>4.8</v>
      </c>
      <c r="K267" s="16">
        <v>8.1999999999999993</v>
      </c>
      <c r="L267" s="33">
        <f t="shared" si="4"/>
        <v>1</v>
      </c>
    </row>
    <row r="268" spans="1:12" x14ac:dyDescent="0.25">
      <c r="A268">
        <v>267</v>
      </c>
      <c r="B268" t="s">
        <v>495</v>
      </c>
      <c r="C268" s="16">
        <v>8.327</v>
      </c>
      <c r="D268" s="12">
        <v>1</v>
      </c>
      <c r="E268" s="16">
        <v>5.8</v>
      </c>
      <c r="F268" s="16">
        <v>8.1999999999999993</v>
      </c>
      <c r="G268" s="16">
        <v>8.202</v>
      </c>
      <c r="H268" s="16">
        <v>8.202</v>
      </c>
      <c r="I268" s="12">
        <v>1</v>
      </c>
      <c r="J268" s="16">
        <v>4.8</v>
      </c>
      <c r="K268" s="16">
        <v>8.1999999999999993</v>
      </c>
      <c r="L268" s="33">
        <f t="shared" si="4"/>
        <v>1</v>
      </c>
    </row>
    <row r="269" spans="1:12" x14ac:dyDescent="0.25">
      <c r="A269">
        <v>268</v>
      </c>
      <c r="B269" t="s">
        <v>1129</v>
      </c>
      <c r="C269" s="16">
        <v>8.3260000000000005</v>
      </c>
      <c r="D269" s="12">
        <v>1</v>
      </c>
      <c r="E269" s="16">
        <v>5.8</v>
      </c>
      <c r="F269" s="16">
        <v>8.1999999999999993</v>
      </c>
      <c r="G269" s="16">
        <v>8.2010000000000005</v>
      </c>
      <c r="H269" s="16">
        <v>8.2010000000000005</v>
      </c>
      <c r="I269" s="12">
        <v>1</v>
      </c>
      <c r="J269" s="16">
        <v>4.8</v>
      </c>
      <c r="K269" s="16">
        <v>8.1999999999999993</v>
      </c>
      <c r="L269" s="33">
        <f t="shared" si="4"/>
        <v>1</v>
      </c>
    </row>
    <row r="270" spans="1:12" x14ac:dyDescent="0.25">
      <c r="A270">
        <v>269</v>
      </c>
      <c r="B270" t="s">
        <v>103</v>
      </c>
      <c r="C270" s="16">
        <v>14.606999999999999</v>
      </c>
      <c r="D270" s="12">
        <v>2</v>
      </c>
      <c r="E270" s="16">
        <v>6.1</v>
      </c>
      <c r="F270" s="16">
        <v>7.1</v>
      </c>
      <c r="G270" s="16">
        <v>14.106999999999999</v>
      </c>
      <c r="H270" s="16">
        <v>8.0039999999999996</v>
      </c>
      <c r="I270" s="12">
        <v>1</v>
      </c>
      <c r="J270" s="16">
        <v>4.8</v>
      </c>
      <c r="K270" s="16">
        <v>8</v>
      </c>
      <c r="L270" s="33">
        <f t="shared" si="4"/>
        <v>0.5</v>
      </c>
    </row>
    <row r="271" spans="1:12" x14ac:dyDescent="0.25">
      <c r="A271">
        <v>270</v>
      </c>
      <c r="B271" t="s">
        <v>552</v>
      </c>
      <c r="C271" s="16">
        <v>13.957000000000001</v>
      </c>
      <c r="D271" s="12">
        <v>2</v>
      </c>
      <c r="E271" s="16">
        <v>5.7</v>
      </c>
      <c r="F271" s="16">
        <v>6.9</v>
      </c>
      <c r="G271" s="16">
        <v>13.707000000000001</v>
      </c>
      <c r="H271" s="16">
        <v>8.0030000000000001</v>
      </c>
      <c r="I271" s="12">
        <v>1</v>
      </c>
      <c r="J271" s="16">
        <v>4.8</v>
      </c>
      <c r="K271" s="16">
        <v>8</v>
      </c>
      <c r="L271" s="33">
        <f t="shared" si="4"/>
        <v>0.5</v>
      </c>
    </row>
    <row r="272" spans="1:12" x14ac:dyDescent="0.25">
      <c r="A272">
        <v>271</v>
      </c>
      <c r="B272" t="s">
        <v>693</v>
      </c>
      <c r="C272" s="16">
        <v>8.2560000000000002</v>
      </c>
      <c r="D272" s="12">
        <v>1</v>
      </c>
      <c r="E272" s="16">
        <v>5.8</v>
      </c>
      <c r="F272" s="16">
        <v>7.5</v>
      </c>
      <c r="G272" s="16">
        <v>7.5060000000000002</v>
      </c>
      <c r="H272" s="16">
        <v>7.5060000000000002</v>
      </c>
      <c r="I272" s="12">
        <v>1</v>
      </c>
      <c r="J272" s="16">
        <v>4.8</v>
      </c>
      <c r="K272" s="16">
        <v>7.5</v>
      </c>
      <c r="L272" s="33">
        <f t="shared" si="4"/>
        <v>1</v>
      </c>
    </row>
    <row r="273" spans="1:12" x14ac:dyDescent="0.25">
      <c r="A273">
        <v>272</v>
      </c>
      <c r="B273" s="5" t="s">
        <v>472</v>
      </c>
      <c r="C273" s="16">
        <v>8.254999999999999</v>
      </c>
      <c r="D273" s="12">
        <v>1</v>
      </c>
      <c r="E273" s="16">
        <v>5.8</v>
      </c>
      <c r="F273" s="16">
        <v>7.5</v>
      </c>
      <c r="G273" s="16">
        <v>7.5049999999999999</v>
      </c>
      <c r="H273" s="16">
        <v>7.5049999999999999</v>
      </c>
      <c r="I273" s="12">
        <v>1</v>
      </c>
      <c r="J273" s="16">
        <v>4.8</v>
      </c>
      <c r="K273" s="16">
        <v>7.5</v>
      </c>
      <c r="L273" s="33">
        <f t="shared" si="4"/>
        <v>1</v>
      </c>
    </row>
    <row r="274" spans="1:12" x14ac:dyDescent="0.25">
      <c r="A274">
        <v>273</v>
      </c>
      <c r="B274" t="s">
        <v>346</v>
      </c>
      <c r="C274" s="16">
        <v>8.2539999999999996</v>
      </c>
      <c r="D274" s="12">
        <v>1</v>
      </c>
      <c r="E274" s="16">
        <v>5.8</v>
      </c>
      <c r="F274" s="16">
        <v>7.5</v>
      </c>
      <c r="G274" s="16">
        <v>7.5039999999999996</v>
      </c>
      <c r="H274" s="16">
        <v>7.5039999999999996</v>
      </c>
      <c r="I274" s="12">
        <v>1</v>
      </c>
      <c r="J274" s="16">
        <v>4.8</v>
      </c>
      <c r="K274" s="16">
        <v>7.5</v>
      </c>
      <c r="L274" s="33">
        <f t="shared" si="4"/>
        <v>1</v>
      </c>
    </row>
    <row r="275" spans="1:12" x14ac:dyDescent="0.25">
      <c r="A275">
        <v>274</v>
      </c>
      <c r="B275" t="s">
        <v>1186</v>
      </c>
      <c r="C275" s="16">
        <v>8.2050000000000001</v>
      </c>
      <c r="D275" s="12">
        <v>1</v>
      </c>
      <c r="E275" s="16">
        <v>5.7</v>
      </c>
      <c r="F275" s="16">
        <v>8.1999999999999993</v>
      </c>
      <c r="G275" s="16">
        <v>8.2050000000000001</v>
      </c>
      <c r="H275" s="16">
        <v>8.2050000000000001</v>
      </c>
      <c r="I275" s="12">
        <v>1</v>
      </c>
      <c r="J275" s="16">
        <v>4.7</v>
      </c>
      <c r="K275" s="16">
        <v>8.1999999999999993</v>
      </c>
      <c r="L275" s="33">
        <f t="shared" si="4"/>
        <v>1</v>
      </c>
    </row>
    <row r="276" spans="1:12" x14ac:dyDescent="0.25">
      <c r="A276">
        <v>275</v>
      </c>
      <c r="B276" t="s">
        <v>1103</v>
      </c>
      <c r="C276" s="16">
        <v>8.2029999999999994</v>
      </c>
      <c r="D276" s="12">
        <v>1</v>
      </c>
      <c r="E276" s="16">
        <v>5.7</v>
      </c>
      <c r="F276" s="16">
        <v>8.1999999999999993</v>
      </c>
      <c r="G276" s="16">
        <v>8.2029999999999994</v>
      </c>
      <c r="H276" s="16">
        <v>8.2029999999999994</v>
      </c>
      <c r="I276" s="12">
        <v>1</v>
      </c>
      <c r="J276" s="16">
        <v>4.7</v>
      </c>
      <c r="K276" s="16">
        <v>8.1999999999999993</v>
      </c>
      <c r="L276" s="33">
        <f t="shared" si="4"/>
        <v>1</v>
      </c>
    </row>
    <row r="277" spans="1:12" x14ac:dyDescent="0.25">
      <c r="A277">
        <v>276</v>
      </c>
      <c r="B277" t="s">
        <v>496</v>
      </c>
      <c r="C277" s="16">
        <v>8.202</v>
      </c>
      <c r="D277" s="12">
        <v>1</v>
      </c>
      <c r="E277" s="16">
        <v>5.7</v>
      </c>
      <c r="F277" s="16">
        <v>8.1999999999999993</v>
      </c>
      <c r="G277" s="16">
        <v>8.202</v>
      </c>
      <c r="H277" s="16">
        <v>8.202</v>
      </c>
      <c r="I277" s="12">
        <v>1</v>
      </c>
      <c r="J277" s="16">
        <v>4.7</v>
      </c>
      <c r="K277" s="16">
        <v>8.1999999999999993</v>
      </c>
      <c r="L277" s="33">
        <f t="shared" si="4"/>
        <v>1</v>
      </c>
    </row>
    <row r="278" spans="1:12" x14ac:dyDescent="0.25">
      <c r="A278">
        <v>277</v>
      </c>
      <c r="B278" s="10" t="s">
        <v>1130</v>
      </c>
      <c r="C278" s="16">
        <v>8.2010000000000005</v>
      </c>
      <c r="D278" s="12">
        <v>1</v>
      </c>
      <c r="E278" s="16">
        <v>5.7</v>
      </c>
      <c r="F278" s="16">
        <v>8.1999999999999993</v>
      </c>
      <c r="G278" s="16">
        <v>8.2010000000000005</v>
      </c>
      <c r="H278" s="16">
        <v>8.2010000000000005</v>
      </c>
      <c r="I278" s="12">
        <v>1</v>
      </c>
      <c r="J278" s="16">
        <v>4.7</v>
      </c>
      <c r="K278" s="16">
        <v>8.1999999999999993</v>
      </c>
      <c r="L278" s="33">
        <f t="shared" si="4"/>
        <v>1</v>
      </c>
    </row>
    <row r="279" spans="1:12" x14ac:dyDescent="0.25">
      <c r="A279">
        <v>278</v>
      </c>
      <c r="B279" t="s">
        <v>1185</v>
      </c>
      <c r="C279" s="16">
        <v>8.2319999999999993</v>
      </c>
      <c r="D279" s="12">
        <v>1</v>
      </c>
      <c r="E279" s="16">
        <v>5.7</v>
      </c>
      <c r="F279" s="16">
        <v>8.1</v>
      </c>
      <c r="G279" s="16">
        <v>8.1069999999999993</v>
      </c>
      <c r="H279" s="16">
        <v>8.1069999999999993</v>
      </c>
      <c r="I279" s="12">
        <v>1</v>
      </c>
      <c r="J279" s="16">
        <v>4.7</v>
      </c>
      <c r="K279" s="16">
        <v>8.1</v>
      </c>
      <c r="L279" s="33">
        <f t="shared" si="4"/>
        <v>1</v>
      </c>
    </row>
    <row r="280" spans="1:12" x14ac:dyDescent="0.25">
      <c r="A280">
        <v>279</v>
      </c>
      <c r="B280" t="s">
        <v>963</v>
      </c>
      <c r="C280" s="16">
        <v>8.2289999999999992</v>
      </c>
      <c r="D280" s="12">
        <v>1</v>
      </c>
      <c r="E280" s="16">
        <v>5.7</v>
      </c>
      <c r="F280" s="16">
        <v>8.1</v>
      </c>
      <c r="G280" s="16">
        <v>8.1039999999999992</v>
      </c>
      <c r="H280" s="16">
        <v>8.1039999999999992</v>
      </c>
      <c r="I280" s="12">
        <v>1</v>
      </c>
      <c r="J280" s="16">
        <v>4.7</v>
      </c>
      <c r="K280" s="16">
        <v>8.1</v>
      </c>
      <c r="L280" s="33">
        <f t="shared" si="4"/>
        <v>1</v>
      </c>
    </row>
    <row r="281" spans="1:12" x14ac:dyDescent="0.25">
      <c r="A281">
        <v>280</v>
      </c>
      <c r="B281" s="10" t="s">
        <v>970</v>
      </c>
      <c r="C281" s="16">
        <v>8.2260000000000009</v>
      </c>
      <c r="D281" s="4">
        <v>1</v>
      </c>
      <c r="E281" s="16">
        <v>5.7</v>
      </c>
      <c r="F281" s="16">
        <v>8.1</v>
      </c>
      <c r="G281" s="16">
        <v>8.1010000000000009</v>
      </c>
      <c r="H281" s="16">
        <v>8.1010000000000009</v>
      </c>
      <c r="I281" s="12">
        <v>1</v>
      </c>
      <c r="J281" s="16">
        <v>4.7</v>
      </c>
      <c r="K281" s="16">
        <v>8.1</v>
      </c>
      <c r="L281" s="33">
        <f t="shared" si="4"/>
        <v>1</v>
      </c>
    </row>
    <row r="282" spans="1:12" x14ac:dyDescent="0.25">
      <c r="A282">
        <v>281</v>
      </c>
      <c r="B282" s="10" t="s">
        <v>1004</v>
      </c>
      <c r="C282" s="16">
        <v>8.1550000000000011</v>
      </c>
      <c r="D282" s="12">
        <v>1</v>
      </c>
      <c r="E282" s="16">
        <v>5.7</v>
      </c>
      <c r="F282" s="16">
        <v>7.9</v>
      </c>
      <c r="G282" s="16">
        <v>7.9050000000000002</v>
      </c>
      <c r="H282" s="16">
        <v>7.9050000000000002</v>
      </c>
      <c r="I282" s="12">
        <v>1</v>
      </c>
      <c r="J282" s="16">
        <v>4.7</v>
      </c>
      <c r="K282" s="16">
        <v>7.9</v>
      </c>
      <c r="L282" s="33">
        <f t="shared" si="4"/>
        <v>1</v>
      </c>
    </row>
    <row r="283" spans="1:12" x14ac:dyDescent="0.25">
      <c r="A283">
        <v>282</v>
      </c>
      <c r="B283" t="s">
        <v>789</v>
      </c>
      <c r="C283" s="16">
        <v>8.1539999999999999</v>
      </c>
      <c r="D283" s="12">
        <v>1</v>
      </c>
      <c r="E283" s="16">
        <v>5.7</v>
      </c>
      <c r="F283" s="16">
        <v>7.9</v>
      </c>
      <c r="G283" s="16">
        <v>7.9039999999999999</v>
      </c>
      <c r="H283" s="16">
        <v>7.9039999999999999</v>
      </c>
      <c r="I283" s="12">
        <v>1</v>
      </c>
      <c r="J283" s="16">
        <v>4.7</v>
      </c>
      <c r="K283" s="16">
        <v>7.9</v>
      </c>
      <c r="L283" s="33">
        <f t="shared" si="4"/>
        <v>1</v>
      </c>
    </row>
    <row r="284" spans="1:12" x14ac:dyDescent="0.25">
      <c r="A284">
        <v>283</v>
      </c>
      <c r="B284" t="s">
        <v>781</v>
      </c>
      <c r="C284" s="16">
        <v>8.152000000000001</v>
      </c>
      <c r="D284" s="12">
        <v>1</v>
      </c>
      <c r="E284" s="16">
        <v>5.7</v>
      </c>
      <c r="F284" s="16">
        <v>7.9</v>
      </c>
      <c r="G284" s="16">
        <v>7.9020000000000001</v>
      </c>
      <c r="H284" s="16">
        <v>7.9020000000000001</v>
      </c>
      <c r="I284" s="12">
        <v>1</v>
      </c>
      <c r="J284" s="16">
        <v>4.7</v>
      </c>
      <c r="K284" s="16">
        <v>7.9</v>
      </c>
      <c r="L284" s="33">
        <f t="shared" si="4"/>
        <v>1</v>
      </c>
    </row>
    <row r="285" spans="1:12" x14ac:dyDescent="0.25">
      <c r="A285">
        <v>284</v>
      </c>
      <c r="B285" t="s">
        <v>276</v>
      </c>
      <c r="C285" s="16">
        <v>8.1069999999999993</v>
      </c>
      <c r="D285" s="12">
        <v>1</v>
      </c>
      <c r="E285" s="16">
        <v>5.6</v>
      </c>
      <c r="F285" s="16">
        <v>8.1</v>
      </c>
      <c r="G285" s="16">
        <v>8.1069999999999993</v>
      </c>
      <c r="H285" s="16">
        <v>8.1069999999999993</v>
      </c>
      <c r="I285" s="12">
        <v>1</v>
      </c>
      <c r="J285" s="16">
        <v>4.5999999999999996</v>
      </c>
      <c r="K285" s="16">
        <v>8.1</v>
      </c>
      <c r="L285" s="33">
        <f t="shared" si="4"/>
        <v>1</v>
      </c>
    </row>
    <row r="286" spans="1:12" x14ac:dyDescent="0.25">
      <c r="A286">
        <v>285</v>
      </c>
      <c r="B286" t="s">
        <v>334</v>
      </c>
      <c r="C286" s="16">
        <v>12.505000000000001</v>
      </c>
      <c r="D286" s="12">
        <v>2</v>
      </c>
      <c r="E286" s="16">
        <v>5</v>
      </c>
      <c r="F286" s="16">
        <v>6.3</v>
      </c>
      <c r="G286" s="16">
        <v>12.505000000000001</v>
      </c>
      <c r="H286" s="16">
        <v>8.1050000000000004</v>
      </c>
      <c r="I286" s="12">
        <v>1</v>
      </c>
      <c r="J286" s="16">
        <v>4.5999999999999996</v>
      </c>
      <c r="K286" s="16">
        <v>8.1</v>
      </c>
      <c r="L286" s="33">
        <f t="shared" si="4"/>
        <v>0.5</v>
      </c>
    </row>
    <row r="287" spans="1:12" x14ac:dyDescent="0.25">
      <c r="A287">
        <v>286</v>
      </c>
      <c r="B287" t="s">
        <v>509</v>
      </c>
      <c r="C287" s="16">
        <v>20.908999999999999</v>
      </c>
      <c r="D287" s="12">
        <v>3</v>
      </c>
      <c r="E287" s="16">
        <v>6.1</v>
      </c>
      <c r="F287" s="16">
        <v>6.8</v>
      </c>
      <c r="G287" s="16">
        <v>20.408999999999999</v>
      </c>
      <c r="H287" s="16">
        <v>8.1039999999999992</v>
      </c>
      <c r="I287" s="12">
        <v>1</v>
      </c>
      <c r="J287" s="16">
        <v>4.5999999999999996</v>
      </c>
      <c r="K287" s="16">
        <v>8.1</v>
      </c>
      <c r="L287" s="33">
        <f t="shared" si="4"/>
        <v>0.33333333333333331</v>
      </c>
    </row>
    <row r="288" spans="1:12" x14ac:dyDescent="0.25">
      <c r="A288">
        <v>287</v>
      </c>
      <c r="B288" t="s">
        <v>762</v>
      </c>
      <c r="C288" s="16">
        <v>8.1029999999999998</v>
      </c>
      <c r="D288" s="12">
        <v>1</v>
      </c>
      <c r="E288" s="16">
        <v>5.6</v>
      </c>
      <c r="F288" s="16">
        <v>8.1</v>
      </c>
      <c r="G288" s="16">
        <v>8.1029999999999998</v>
      </c>
      <c r="H288" s="16">
        <v>8.1029999999999998</v>
      </c>
      <c r="I288" s="12">
        <v>1</v>
      </c>
      <c r="J288" s="16">
        <v>4.5999999999999996</v>
      </c>
      <c r="K288" s="16">
        <v>8.1</v>
      </c>
      <c r="L288" s="33">
        <f t="shared" si="4"/>
        <v>1</v>
      </c>
    </row>
    <row r="289" spans="1:12" x14ac:dyDescent="0.25">
      <c r="A289">
        <v>288</v>
      </c>
      <c r="B289" t="s">
        <v>1123</v>
      </c>
      <c r="C289" s="16">
        <v>15.004000000000001</v>
      </c>
      <c r="D289" s="12">
        <v>2</v>
      </c>
      <c r="E289" s="16">
        <v>6.3</v>
      </c>
      <c r="F289" s="16">
        <v>7.5</v>
      </c>
      <c r="G289" s="16">
        <v>15.004000000000001</v>
      </c>
      <c r="H289" s="16">
        <v>8.1020000000000003</v>
      </c>
      <c r="I289" s="12">
        <v>1</v>
      </c>
      <c r="J289" s="16">
        <v>4.5999999999999996</v>
      </c>
      <c r="K289" s="16">
        <v>8.1</v>
      </c>
      <c r="L289" s="33">
        <f t="shared" si="4"/>
        <v>0.5</v>
      </c>
    </row>
    <row r="290" spans="1:12" x14ac:dyDescent="0.25">
      <c r="A290">
        <v>289</v>
      </c>
      <c r="B290" t="s">
        <v>104</v>
      </c>
      <c r="C290" s="16">
        <v>27.234999999999999</v>
      </c>
      <c r="D290" s="12">
        <v>4</v>
      </c>
      <c r="E290" s="16">
        <v>6.2</v>
      </c>
      <c r="F290" s="16">
        <v>6.5</v>
      </c>
      <c r="G290" s="16">
        <v>26.11</v>
      </c>
      <c r="H290" s="16">
        <v>8.0039999999999996</v>
      </c>
      <c r="I290" s="12">
        <v>1</v>
      </c>
      <c r="J290" s="16">
        <v>4.5999999999999996</v>
      </c>
      <c r="K290" s="16">
        <v>8</v>
      </c>
      <c r="L290" s="33">
        <f t="shared" si="4"/>
        <v>0.25</v>
      </c>
    </row>
    <row r="291" spans="1:12" x14ac:dyDescent="0.25">
      <c r="A291">
        <v>290</v>
      </c>
      <c r="B291" t="s">
        <v>553</v>
      </c>
      <c r="C291" s="16">
        <v>8.1280000000000001</v>
      </c>
      <c r="D291" s="12">
        <v>1</v>
      </c>
      <c r="E291" s="16">
        <v>5.6</v>
      </c>
      <c r="F291" s="16">
        <v>8</v>
      </c>
      <c r="G291" s="16">
        <v>8.0030000000000001</v>
      </c>
      <c r="H291" s="16">
        <v>8.0030000000000001</v>
      </c>
      <c r="I291" s="12">
        <v>1</v>
      </c>
      <c r="J291" s="16">
        <v>4.5999999999999996</v>
      </c>
      <c r="K291" s="16">
        <v>8</v>
      </c>
      <c r="L291" s="33">
        <f t="shared" si="4"/>
        <v>1</v>
      </c>
    </row>
    <row r="292" spans="1:12" x14ac:dyDescent="0.25">
      <c r="A292">
        <v>291</v>
      </c>
      <c r="B292" s="10" t="s">
        <v>787</v>
      </c>
      <c r="C292" s="16">
        <v>8.1270000000000007</v>
      </c>
      <c r="D292" s="12">
        <v>1</v>
      </c>
      <c r="E292" s="16">
        <v>5.6</v>
      </c>
      <c r="F292" s="16">
        <v>8</v>
      </c>
      <c r="G292" s="16">
        <v>8.0020000000000007</v>
      </c>
      <c r="H292" s="16">
        <v>8.0020000000000007</v>
      </c>
      <c r="I292" s="12">
        <v>1</v>
      </c>
      <c r="J292" s="16">
        <v>4.5999999999999996</v>
      </c>
      <c r="K292" s="16">
        <v>8</v>
      </c>
      <c r="L292" s="33">
        <f t="shared" si="4"/>
        <v>1</v>
      </c>
    </row>
    <row r="293" spans="1:12" x14ac:dyDescent="0.25">
      <c r="A293">
        <v>292</v>
      </c>
      <c r="B293" s="10" t="s">
        <v>930</v>
      </c>
      <c r="C293" s="16">
        <v>8.0570000000000004</v>
      </c>
      <c r="D293" s="12">
        <v>1</v>
      </c>
      <c r="E293" s="16">
        <v>5.6</v>
      </c>
      <c r="F293" s="16">
        <v>7.8</v>
      </c>
      <c r="G293" s="16">
        <v>7.8070000000000004</v>
      </c>
      <c r="H293" s="16">
        <v>7.8070000000000004</v>
      </c>
      <c r="I293" s="12">
        <v>1</v>
      </c>
      <c r="J293" s="16">
        <v>4.5999999999999996</v>
      </c>
      <c r="K293" s="16">
        <v>7.8</v>
      </c>
      <c r="L293" s="33">
        <f t="shared" si="4"/>
        <v>1</v>
      </c>
    </row>
    <row r="294" spans="1:12" x14ac:dyDescent="0.25">
      <c r="A294">
        <v>293</v>
      </c>
      <c r="B294" t="s">
        <v>165</v>
      </c>
      <c r="C294" s="16">
        <v>21.966000000000001</v>
      </c>
      <c r="D294" s="12">
        <v>3</v>
      </c>
      <c r="E294" s="16">
        <v>6.5</v>
      </c>
      <c r="F294" s="16">
        <v>7.1</v>
      </c>
      <c r="G294" s="16">
        <v>21.216000000000001</v>
      </c>
      <c r="H294" s="16">
        <v>7.806</v>
      </c>
      <c r="I294" s="12">
        <v>1</v>
      </c>
      <c r="J294" s="16">
        <v>4.5999999999999996</v>
      </c>
      <c r="K294" s="16">
        <v>7.8</v>
      </c>
      <c r="L294" s="33">
        <f t="shared" si="4"/>
        <v>0.33333333333333331</v>
      </c>
    </row>
    <row r="295" spans="1:12" x14ac:dyDescent="0.25">
      <c r="A295">
        <v>294</v>
      </c>
      <c r="B295" t="s">
        <v>658</v>
      </c>
      <c r="C295" s="16">
        <v>8.0530000000000008</v>
      </c>
      <c r="D295" s="12">
        <v>1</v>
      </c>
      <c r="E295" s="16">
        <v>5.6</v>
      </c>
      <c r="F295" s="16">
        <v>7.8</v>
      </c>
      <c r="G295" s="16">
        <v>7.8029999999999999</v>
      </c>
      <c r="H295" s="16">
        <v>7.8029999999999999</v>
      </c>
      <c r="I295" s="12">
        <v>1</v>
      </c>
      <c r="J295" s="16">
        <v>4.5999999999999996</v>
      </c>
      <c r="K295" s="16">
        <v>7.8</v>
      </c>
      <c r="L295" s="33">
        <f t="shared" si="4"/>
        <v>1</v>
      </c>
    </row>
    <row r="296" spans="1:12" x14ac:dyDescent="0.25">
      <c r="A296">
        <v>295</v>
      </c>
      <c r="B296" t="s">
        <v>73</v>
      </c>
      <c r="C296" s="16">
        <v>14.808</v>
      </c>
      <c r="D296" s="12">
        <v>2</v>
      </c>
      <c r="E296" s="16">
        <v>6.2</v>
      </c>
      <c r="F296" s="16">
        <v>6.7</v>
      </c>
      <c r="G296" s="16">
        <v>13.308</v>
      </c>
      <c r="H296" s="16">
        <v>7.3070000000000004</v>
      </c>
      <c r="I296" s="12">
        <v>1</v>
      </c>
      <c r="J296" s="16">
        <v>4.5999999999999996</v>
      </c>
      <c r="K296" s="16">
        <v>7.3</v>
      </c>
      <c r="L296" s="33">
        <f t="shared" si="4"/>
        <v>0.5</v>
      </c>
    </row>
    <row r="297" spans="1:12" x14ac:dyDescent="0.25">
      <c r="A297">
        <v>296</v>
      </c>
      <c r="B297" t="s">
        <v>678</v>
      </c>
      <c r="C297" s="16">
        <v>8.0549999999999997</v>
      </c>
      <c r="D297" s="4">
        <v>1</v>
      </c>
      <c r="E297" s="16">
        <v>5.6</v>
      </c>
      <c r="F297" s="16">
        <v>7.3</v>
      </c>
      <c r="G297" s="16">
        <v>7.3049999999999997</v>
      </c>
      <c r="H297" s="16">
        <v>7.3049999999999997</v>
      </c>
      <c r="I297" s="12">
        <v>1</v>
      </c>
      <c r="J297" s="16">
        <v>4.5999999999999996</v>
      </c>
      <c r="K297" s="16">
        <v>7.3</v>
      </c>
      <c r="L297" s="33">
        <f t="shared" si="4"/>
        <v>1</v>
      </c>
    </row>
    <row r="298" spans="1:12" x14ac:dyDescent="0.25">
      <c r="A298">
        <v>297</v>
      </c>
      <c r="B298" t="s">
        <v>1310</v>
      </c>
      <c r="C298" s="16">
        <v>8.0510000000000002</v>
      </c>
      <c r="D298" s="12">
        <v>1</v>
      </c>
      <c r="E298" s="16">
        <v>5.6</v>
      </c>
      <c r="F298" s="16">
        <v>7.3</v>
      </c>
      <c r="G298" s="16">
        <v>7.3010000000000002</v>
      </c>
      <c r="H298" s="16">
        <v>7.3010000000000002</v>
      </c>
      <c r="I298" s="12">
        <v>1</v>
      </c>
      <c r="J298" s="16">
        <v>4.5999999999999996</v>
      </c>
      <c r="K298" s="16">
        <v>7.3</v>
      </c>
      <c r="L298" s="33">
        <f t="shared" si="4"/>
        <v>1</v>
      </c>
    </row>
    <row r="299" spans="1:12" x14ac:dyDescent="0.25">
      <c r="A299">
        <v>298</v>
      </c>
      <c r="B299" t="s">
        <v>998</v>
      </c>
      <c r="C299" s="16">
        <v>8.0060000000000002</v>
      </c>
      <c r="D299" s="12">
        <v>1</v>
      </c>
      <c r="E299" s="16">
        <v>5.5</v>
      </c>
      <c r="F299" s="16">
        <v>8</v>
      </c>
      <c r="G299" s="16">
        <v>8.0060000000000002</v>
      </c>
      <c r="H299" s="16">
        <v>8.0060000000000002</v>
      </c>
      <c r="I299" s="12">
        <v>1</v>
      </c>
      <c r="J299" s="16">
        <v>4.5</v>
      </c>
      <c r="K299" s="16">
        <v>8</v>
      </c>
      <c r="L299" s="33">
        <f t="shared" si="4"/>
        <v>1</v>
      </c>
    </row>
    <row r="300" spans="1:12" x14ac:dyDescent="0.25">
      <c r="A300">
        <v>299</v>
      </c>
      <c r="B300" t="s">
        <v>554</v>
      </c>
      <c r="C300" s="16">
        <v>8.0030000000000001</v>
      </c>
      <c r="D300" s="12">
        <v>1</v>
      </c>
      <c r="E300" s="16">
        <v>5.5</v>
      </c>
      <c r="F300" s="16">
        <v>8</v>
      </c>
      <c r="G300" s="16">
        <v>8.0030000000000001</v>
      </c>
      <c r="H300" s="16">
        <v>8.0030000000000001</v>
      </c>
      <c r="I300" s="12">
        <v>1</v>
      </c>
      <c r="J300" s="16">
        <v>4.5</v>
      </c>
      <c r="K300" s="16">
        <v>8</v>
      </c>
      <c r="L300" s="33">
        <f t="shared" si="4"/>
        <v>1</v>
      </c>
    </row>
    <row r="301" spans="1:12" x14ac:dyDescent="0.25">
      <c r="A301">
        <v>300</v>
      </c>
      <c r="B301" s="5" t="s">
        <v>786</v>
      </c>
      <c r="C301" s="16">
        <v>8.0020000000000007</v>
      </c>
      <c r="D301" s="12">
        <v>1</v>
      </c>
      <c r="E301" s="16">
        <v>5.5</v>
      </c>
      <c r="F301" s="16">
        <v>8</v>
      </c>
      <c r="G301" s="16">
        <v>8.0020000000000007</v>
      </c>
      <c r="H301" s="16">
        <v>8.0020000000000007</v>
      </c>
      <c r="I301" s="12">
        <v>1</v>
      </c>
      <c r="J301" s="16">
        <v>4.5</v>
      </c>
      <c r="K301" s="16">
        <v>8</v>
      </c>
      <c r="L301" s="33">
        <f t="shared" si="4"/>
        <v>1</v>
      </c>
    </row>
    <row r="302" spans="1:12" x14ac:dyDescent="0.25">
      <c r="A302">
        <v>301</v>
      </c>
      <c r="B302" s="10" t="s">
        <v>800</v>
      </c>
      <c r="C302" s="16">
        <v>8.0309999999999988</v>
      </c>
      <c r="D302" s="12">
        <v>1</v>
      </c>
      <c r="E302" s="16">
        <v>5.5</v>
      </c>
      <c r="F302" s="16">
        <v>7.9</v>
      </c>
      <c r="G302" s="16">
        <v>7.9059999999999997</v>
      </c>
      <c r="H302" s="16">
        <v>7.9059999999999997</v>
      </c>
      <c r="I302" s="12">
        <v>1</v>
      </c>
      <c r="J302" s="16">
        <v>4.5</v>
      </c>
      <c r="K302" s="16">
        <v>7.9</v>
      </c>
      <c r="L302" s="33">
        <f t="shared" si="4"/>
        <v>1</v>
      </c>
    </row>
    <row r="303" spans="1:12" x14ac:dyDescent="0.25">
      <c r="A303">
        <v>302</v>
      </c>
      <c r="B303" s="10" t="s">
        <v>398</v>
      </c>
      <c r="C303" s="16">
        <v>21.308</v>
      </c>
      <c r="D303" s="12">
        <v>3</v>
      </c>
      <c r="E303" s="16">
        <v>6.3</v>
      </c>
      <c r="F303" s="16">
        <v>6.8</v>
      </c>
      <c r="G303" s="16">
        <v>20.308</v>
      </c>
      <c r="H303" s="16">
        <v>7.9050000000000002</v>
      </c>
      <c r="I303" s="12">
        <v>1</v>
      </c>
      <c r="J303" s="16">
        <v>4.5</v>
      </c>
      <c r="K303" s="16">
        <v>7.9</v>
      </c>
      <c r="L303" s="33">
        <f t="shared" si="4"/>
        <v>0.33333333333333331</v>
      </c>
    </row>
    <row r="304" spans="1:12" x14ac:dyDescent="0.25">
      <c r="A304">
        <v>303</v>
      </c>
      <c r="B304" t="s">
        <v>830</v>
      </c>
      <c r="C304" s="16">
        <v>8.0289999999999999</v>
      </c>
      <c r="D304" s="12">
        <v>1</v>
      </c>
      <c r="E304" s="16">
        <v>5.5</v>
      </c>
      <c r="F304" s="16">
        <v>7.9</v>
      </c>
      <c r="G304" s="16">
        <v>7.9039999999999999</v>
      </c>
      <c r="H304" s="16">
        <v>7.9039999999999999</v>
      </c>
      <c r="I304" s="12">
        <v>1</v>
      </c>
      <c r="J304" s="16">
        <v>4.5</v>
      </c>
      <c r="K304" s="16">
        <v>7.9</v>
      </c>
      <c r="L304" s="33">
        <f t="shared" si="4"/>
        <v>1</v>
      </c>
    </row>
    <row r="305" spans="1:12" x14ac:dyDescent="0.25">
      <c r="A305">
        <v>304</v>
      </c>
      <c r="B305" s="10" t="s">
        <v>796</v>
      </c>
      <c r="C305" s="16">
        <v>8.027000000000001</v>
      </c>
      <c r="D305" s="12">
        <v>1</v>
      </c>
      <c r="E305" s="16">
        <v>5.5</v>
      </c>
      <c r="F305" s="16">
        <v>7.9</v>
      </c>
      <c r="G305" s="16">
        <v>7.9020000000000001</v>
      </c>
      <c r="H305" s="16">
        <v>7.9020000000000001</v>
      </c>
      <c r="I305" s="12">
        <v>1</v>
      </c>
      <c r="J305" s="16">
        <v>4.5</v>
      </c>
      <c r="K305" s="16">
        <v>7.9</v>
      </c>
      <c r="L305" s="33">
        <f t="shared" si="4"/>
        <v>1</v>
      </c>
    </row>
    <row r="306" spans="1:12" x14ac:dyDescent="0.25">
      <c r="A306">
        <v>305</v>
      </c>
      <c r="B306" t="s">
        <v>374</v>
      </c>
      <c r="C306" s="16">
        <v>15.608000000000001</v>
      </c>
      <c r="D306" s="12">
        <v>2</v>
      </c>
      <c r="E306" s="16">
        <v>6.6</v>
      </c>
      <c r="F306" s="16">
        <v>7.3</v>
      </c>
      <c r="G306" s="16">
        <v>14.608000000000001</v>
      </c>
      <c r="H306" s="16">
        <v>7.7050000000000001</v>
      </c>
      <c r="I306" s="12">
        <v>1</v>
      </c>
      <c r="J306" s="16">
        <v>4.5</v>
      </c>
      <c r="K306" s="16">
        <v>7.7</v>
      </c>
      <c r="L306" s="33">
        <f t="shared" si="4"/>
        <v>0.5</v>
      </c>
    </row>
    <row r="307" spans="1:12" x14ac:dyDescent="0.25">
      <c r="A307">
        <v>306</v>
      </c>
      <c r="B307" t="s">
        <v>439</v>
      </c>
      <c r="C307" s="16">
        <v>7.9539999999999997</v>
      </c>
      <c r="D307" s="12">
        <v>1</v>
      </c>
      <c r="E307" s="16">
        <v>5.5</v>
      </c>
      <c r="F307" s="16">
        <v>7.7</v>
      </c>
      <c r="G307" s="16">
        <v>7.7039999999999997</v>
      </c>
      <c r="H307" s="16">
        <v>7.7039999999999997</v>
      </c>
      <c r="I307" s="12">
        <v>1</v>
      </c>
      <c r="J307" s="16">
        <v>4.5</v>
      </c>
      <c r="K307" s="16">
        <v>7.7</v>
      </c>
      <c r="L307" s="33">
        <f t="shared" si="4"/>
        <v>1</v>
      </c>
    </row>
    <row r="308" spans="1:12" x14ac:dyDescent="0.25">
      <c r="A308">
        <v>307</v>
      </c>
      <c r="B308" t="s">
        <v>152</v>
      </c>
      <c r="C308" s="16">
        <v>19.456</v>
      </c>
      <c r="D308" s="12">
        <v>3</v>
      </c>
      <c r="E308" s="16">
        <v>5.7</v>
      </c>
      <c r="F308" s="16">
        <v>6.2</v>
      </c>
      <c r="G308" s="16">
        <v>18.706</v>
      </c>
      <c r="H308" s="16">
        <v>7.7030000000000003</v>
      </c>
      <c r="I308" s="12">
        <v>1</v>
      </c>
      <c r="J308" s="16">
        <v>4.5</v>
      </c>
      <c r="K308" s="16">
        <v>7.7</v>
      </c>
      <c r="L308" s="33">
        <f t="shared" si="4"/>
        <v>0.33333333333333331</v>
      </c>
    </row>
    <row r="309" spans="1:12" x14ac:dyDescent="0.25">
      <c r="A309">
        <v>308</v>
      </c>
      <c r="B309" t="s">
        <v>293</v>
      </c>
      <c r="C309" s="16">
        <v>7.9550000000000001</v>
      </c>
      <c r="D309" s="12">
        <v>1</v>
      </c>
      <c r="E309" s="16">
        <v>5.5</v>
      </c>
      <c r="F309" s="16">
        <v>7.2</v>
      </c>
      <c r="G309" s="16">
        <v>7.2050000000000001</v>
      </c>
      <c r="H309" s="16">
        <v>7.2050000000000001</v>
      </c>
      <c r="I309" s="12">
        <v>1</v>
      </c>
      <c r="J309" s="16">
        <v>4.5</v>
      </c>
      <c r="K309" s="16">
        <v>7.2</v>
      </c>
      <c r="L309" s="33">
        <f t="shared" si="4"/>
        <v>1</v>
      </c>
    </row>
    <row r="310" spans="1:12" x14ac:dyDescent="0.25">
      <c r="A310">
        <v>309</v>
      </c>
      <c r="B310" t="s">
        <v>767</v>
      </c>
      <c r="C310" s="16">
        <v>7.9059999999999997</v>
      </c>
      <c r="D310" s="12">
        <v>1</v>
      </c>
      <c r="E310" s="16">
        <v>5.4</v>
      </c>
      <c r="F310" s="16">
        <v>7.9</v>
      </c>
      <c r="G310" s="16">
        <v>7.9059999999999997</v>
      </c>
      <c r="H310" s="16">
        <v>7.9059999999999997</v>
      </c>
      <c r="I310" s="12">
        <v>1</v>
      </c>
      <c r="J310" s="16">
        <v>4.4000000000000004</v>
      </c>
      <c r="K310" s="16">
        <v>7.9</v>
      </c>
      <c r="L310" s="33">
        <f t="shared" si="4"/>
        <v>1</v>
      </c>
    </row>
    <row r="311" spans="1:12" x14ac:dyDescent="0.25">
      <c r="A311">
        <v>310</v>
      </c>
      <c r="B311" t="s">
        <v>1006</v>
      </c>
      <c r="C311" s="16">
        <v>7.9050000000000002</v>
      </c>
      <c r="D311" s="12">
        <v>1</v>
      </c>
      <c r="E311" s="16">
        <v>5.4</v>
      </c>
      <c r="F311" s="16">
        <v>7.9</v>
      </c>
      <c r="G311" s="16">
        <v>7.9050000000000002</v>
      </c>
      <c r="H311" s="16">
        <v>7.9050000000000002</v>
      </c>
      <c r="I311" s="12">
        <v>1</v>
      </c>
      <c r="J311" s="16">
        <v>4.4000000000000004</v>
      </c>
      <c r="K311" s="16">
        <v>7.9</v>
      </c>
      <c r="L311" s="33">
        <f t="shared" si="4"/>
        <v>1</v>
      </c>
    </row>
    <row r="312" spans="1:12" x14ac:dyDescent="0.25">
      <c r="A312">
        <v>311</v>
      </c>
      <c r="B312" t="s">
        <v>790</v>
      </c>
      <c r="C312" s="16">
        <v>7.9039999999999999</v>
      </c>
      <c r="D312" s="12">
        <v>1</v>
      </c>
      <c r="E312" s="16">
        <v>5.4</v>
      </c>
      <c r="F312" s="16">
        <v>7.9</v>
      </c>
      <c r="G312" s="16">
        <v>7.9039999999999999</v>
      </c>
      <c r="H312" s="16">
        <v>7.9039999999999999</v>
      </c>
      <c r="I312" s="12">
        <v>1</v>
      </c>
      <c r="J312" s="16">
        <v>4.4000000000000004</v>
      </c>
      <c r="K312" s="16">
        <v>7.9</v>
      </c>
      <c r="L312" s="33">
        <f t="shared" si="4"/>
        <v>1</v>
      </c>
    </row>
    <row r="313" spans="1:12" x14ac:dyDescent="0.25">
      <c r="A313">
        <v>312</v>
      </c>
      <c r="B313" t="s">
        <v>898</v>
      </c>
      <c r="C313" s="16">
        <v>7.9020000000000001</v>
      </c>
      <c r="D313" s="12">
        <v>1</v>
      </c>
      <c r="E313" s="16">
        <v>5.4</v>
      </c>
      <c r="F313" s="16">
        <v>7.9</v>
      </c>
      <c r="G313" s="16">
        <v>7.9020000000000001</v>
      </c>
      <c r="H313" s="16">
        <v>7.9020000000000001</v>
      </c>
      <c r="I313" s="12">
        <v>1</v>
      </c>
      <c r="J313" s="16">
        <v>4.4000000000000004</v>
      </c>
      <c r="K313" s="16">
        <v>7.9</v>
      </c>
      <c r="L313" s="33">
        <f t="shared" si="4"/>
        <v>1</v>
      </c>
    </row>
    <row r="314" spans="1:12" x14ac:dyDescent="0.25">
      <c r="A314">
        <v>313</v>
      </c>
      <c r="B314" s="10" t="s">
        <v>931</v>
      </c>
      <c r="C314" s="16">
        <v>7.9320000000000004</v>
      </c>
      <c r="D314" s="12">
        <v>1</v>
      </c>
      <c r="E314" s="16">
        <v>5.4</v>
      </c>
      <c r="F314" s="16">
        <v>7.8</v>
      </c>
      <c r="G314" s="16">
        <v>7.8070000000000004</v>
      </c>
      <c r="H314" s="16">
        <v>7.8070000000000004</v>
      </c>
      <c r="I314" s="12">
        <v>1</v>
      </c>
      <c r="J314" s="16">
        <v>4.4000000000000004</v>
      </c>
      <c r="K314" s="16">
        <v>7.8</v>
      </c>
      <c r="L314" s="33">
        <f t="shared" si="4"/>
        <v>1</v>
      </c>
    </row>
    <row r="315" spans="1:12" x14ac:dyDescent="0.25">
      <c r="A315">
        <v>314</v>
      </c>
      <c r="B315" t="s">
        <v>164</v>
      </c>
      <c r="C315" s="16">
        <v>7.931</v>
      </c>
      <c r="D315" s="12">
        <v>1</v>
      </c>
      <c r="E315" s="16">
        <v>5.4</v>
      </c>
      <c r="F315" s="16">
        <v>7.8</v>
      </c>
      <c r="G315" s="16">
        <v>7.806</v>
      </c>
      <c r="H315" s="16">
        <v>7.806</v>
      </c>
      <c r="I315" s="12">
        <v>1</v>
      </c>
      <c r="J315" s="16">
        <v>4.4000000000000004</v>
      </c>
      <c r="K315" s="16">
        <v>7.8</v>
      </c>
      <c r="L315" s="33">
        <f t="shared" si="4"/>
        <v>1</v>
      </c>
    </row>
    <row r="316" spans="1:12" x14ac:dyDescent="0.25">
      <c r="A316">
        <v>315</v>
      </c>
      <c r="B316" t="s">
        <v>942</v>
      </c>
      <c r="C316" s="16">
        <v>7.93</v>
      </c>
      <c r="D316" s="12">
        <v>1</v>
      </c>
      <c r="E316" s="16">
        <v>5.4</v>
      </c>
      <c r="F316" s="16">
        <v>7.8</v>
      </c>
      <c r="G316" s="16">
        <v>7.8049999999999997</v>
      </c>
      <c r="H316" s="16">
        <v>7.8049999999999997</v>
      </c>
      <c r="I316" s="12">
        <v>1</v>
      </c>
      <c r="J316" s="16">
        <v>4.4000000000000004</v>
      </c>
      <c r="K316" s="16">
        <v>7.8</v>
      </c>
      <c r="L316" s="33">
        <f t="shared" si="4"/>
        <v>1</v>
      </c>
    </row>
    <row r="317" spans="1:12" x14ac:dyDescent="0.25">
      <c r="A317">
        <v>316</v>
      </c>
      <c r="B317" t="s">
        <v>659</v>
      </c>
      <c r="C317" s="16">
        <v>7.9279999999999999</v>
      </c>
      <c r="D317" s="12">
        <v>1</v>
      </c>
      <c r="E317" s="16">
        <v>5.4</v>
      </c>
      <c r="F317" s="16">
        <v>7.8</v>
      </c>
      <c r="G317" s="16">
        <v>7.8029999999999999</v>
      </c>
      <c r="H317" s="16">
        <v>7.8029999999999999</v>
      </c>
      <c r="I317" s="12">
        <v>1</v>
      </c>
      <c r="J317" s="16">
        <v>4.4000000000000004</v>
      </c>
      <c r="K317" s="16">
        <v>7.8</v>
      </c>
      <c r="L317" s="33">
        <f t="shared" si="4"/>
        <v>1</v>
      </c>
    </row>
    <row r="318" spans="1:12" x14ac:dyDescent="0.25">
      <c r="A318">
        <v>317</v>
      </c>
      <c r="B318" t="s">
        <v>1327</v>
      </c>
      <c r="C318" s="16">
        <v>14.882999999999999</v>
      </c>
      <c r="D318" s="12">
        <v>2</v>
      </c>
      <c r="E318" s="16">
        <v>6.2</v>
      </c>
      <c r="F318" s="16">
        <v>7.3</v>
      </c>
      <c r="G318" s="16">
        <v>14.507999999999999</v>
      </c>
      <c r="H318" s="16">
        <v>7.6029999999999998</v>
      </c>
      <c r="I318" s="12">
        <v>1</v>
      </c>
      <c r="J318" s="16">
        <v>4.4000000000000004</v>
      </c>
      <c r="K318" s="16">
        <v>7.6</v>
      </c>
      <c r="L318" s="33">
        <f t="shared" si="4"/>
        <v>0.5</v>
      </c>
    </row>
    <row r="319" spans="1:12" x14ac:dyDescent="0.25">
      <c r="A319">
        <v>318</v>
      </c>
      <c r="B319" t="s">
        <v>1323</v>
      </c>
      <c r="C319" s="16">
        <v>7.8520000000000003</v>
      </c>
      <c r="D319" s="12">
        <v>1</v>
      </c>
      <c r="E319" s="16">
        <v>5.4</v>
      </c>
      <c r="F319" s="16">
        <v>7.6</v>
      </c>
      <c r="G319" s="16">
        <v>7.6020000000000003</v>
      </c>
      <c r="H319" s="16">
        <v>7.6020000000000003</v>
      </c>
      <c r="I319" s="12">
        <v>1</v>
      </c>
      <c r="J319" s="16">
        <v>4.4000000000000004</v>
      </c>
      <c r="K319" s="16">
        <v>7.6</v>
      </c>
      <c r="L319" s="33">
        <f t="shared" si="4"/>
        <v>1</v>
      </c>
    </row>
    <row r="320" spans="1:12" x14ac:dyDescent="0.25">
      <c r="A320">
        <v>319</v>
      </c>
      <c r="B320" t="s">
        <v>163</v>
      </c>
      <c r="C320" s="16">
        <v>7.806</v>
      </c>
      <c r="D320" s="12">
        <v>1</v>
      </c>
      <c r="E320" s="16">
        <v>5.3</v>
      </c>
      <c r="F320" s="16">
        <v>7.8</v>
      </c>
      <c r="G320" s="16">
        <v>7.806</v>
      </c>
      <c r="H320" s="16">
        <v>7.806</v>
      </c>
      <c r="I320" s="12">
        <v>1</v>
      </c>
      <c r="J320" s="16">
        <v>4.3</v>
      </c>
      <c r="K320" s="16">
        <v>7.8</v>
      </c>
      <c r="L320" s="33">
        <f t="shared" si="4"/>
        <v>1</v>
      </c>
    </row>
    <row r="321" spans="1:12" x14ac:dyDescent="0.25">
      <c r="A321">
        <v>320</v>
      </c>
      <c r="B321" t="s">
        <v>660</v>
      </c>
      <c r="C321" s="16">
        <v>7.8029999999999999</v>
      </c>
      <c r="D321" s="12">
        <v>1</v>
      </c>
      <c r="E321" s="16">
        <v>5.3</v>
      </c>
      <c r="F321" s="16">
        <v>7.8</v>
      </c>
      <c r="G321" s="16">
        <v>7.8029999999999999</v>
      </c>
      <c r="H321" s="16">
        <v>7.8029999999999999</v>
      </c>
      <c r="I321" s="12">
        <v>1</v>
      </c>
      <c r="J321" s="16">
        <v>4.3</v>
      </c>
      <c r="K321" s="16">
        <v>7.8</v>
      </c>
      <c r="L321" s="33">
        <f t="shared" si="4"/>
        <v>1</v>
      </c>
    </row>
    <row r="322" spans="1:12" x14ac:dyDescent="0.25">
      <c r="A322">
        <v>321</v>
      </c>
      <c r="B322" t="s">
        <v>177</v>
      </c>
      <c r="C322" s="16">
        <v>7.8310000000000004</v>
      </c>
      <c r="D322" s="12">
        <v>1</v>
      </c>
      <c r="E322" s="16">
        <v>5.3</v>
      </c>
      <c r="F322" s="16">
        <v>7.7</v>
      </c>
      <c r="G322" s="16">
        <v>7.7060000000000004</v>
      </c>
      <c r="H322" s="16">
        <v>7.7060000000000004</v>
      </c>
      <c r="I322" s="12">
        <v>1</v>
      </c>
      <c r="J322" s="16">
        <v>4.3</v>
      </c>
      <c r="K322" s="16">
        <v>7.7</v>
      </c>
      <c r="L322" s="33">
        <f t="shared" ref="L322:L385" si="5">I322/D322</f>
        <v>1</v>
      </c>
    </row>
    <row r="323" spans="1:12" x14ac:dyDescent="0.25">
      <c r="A323">
        <v>322</v>
      </c>
      <c r="B323" s="10" t="s">
        <v>375</v>
      </c>
      <c r="C323" s="16">
        <v>7.83</v>
      </c>
      <c r="D323" s="12">
        <v>1</v>
      </c>
      <c r="E323" s="16">
        <v>5.3</v>
      </c>
      <c r="F323" s="16">
        <v>7.7</v>
      </c>
      <c r="G323" s="16">
        <v>7.7050000000000001</v>
      </c>
      <c r="H323" s="16">
        <v>7.7050000000000001</v>
      </c>
      <c r="I323" s="12">
        <v>1</v>
      </c>
      <c r="J323" s="16">
        <v>4.3</v>
      </c>
      <c r="K323" s="16">
        <v>7.7</v>
      </c>
      <c r="L323" s="33">
        <f t="shared" si="5"/>
        <v>1</v>
      </c>
    </row>
    <row r="324" spans="1:12" x14ac:dyDescent="0.25">
      <c r="A324">
        <v>323</v>
      </c>
      <c r="B324" t="s">
        <v>440</v>
      </c>
      <c r="C324" s="16">
        <v>7.8289999999999997</v>
      </c>
      <c r="D324" s="12">
        <v>1</v>
      </c>
      <c r="E324" s="16">
        <v>5.3</v>
      </c>
      <c r="F324" s="16">
        <v>7.7</v>
      </c>
      <c r="G324" s="16">
        <v>7.7039999999999997</v>
      </c>
      <c r="H324" s="16">
        <v>7.7039999999999997</v>
      </c>
      <c r="I324" s="12">
        <v>1</v>
      </c>
      <c r="J324" s="16">
        <v>4.3</v>
      </c>
      <c r="K324" s="16">
        <v>7.7</v>
      </c>
      <c r="L324" s="33">
        <f t="shared" si="5"/>
        <v>1</v>
      </c>
    </row>
    <row r="325" spans="1:12" x14ac:dyDescent="0.25">
      <c r="A325">
        <v>324</v>
      </c>
      <c r="B325" t="s">
        <v>154</v>
      </c>
      <c r="C325" s="16">
        <v>19.081</v>
      </c>
      <c r="D325" s="12">
        <v>3</v>
      </c>
      <c r="E325" s="16">
        <v>5.5</v>
      </c>
      <c r="F325" s="16">
        <v>6.2</v>
      </c>
      <c r="G325" s="16">
        <v>18.706</v>
      </c>
      <c r="H325" s="16">
        <v>7.7030000000000003</v>
      </c>
      <c r="I325" s="12">
        <v>1</v>
      </c>
      <c r="J325" s="16">
        <v>4.3</v>
      </c>
      <c r="K325" s="16">
        <v>7.7</v>
      </c>
      <c r="L325" s="33">
        <f t="shared" si="5"/>
        <v>0.33333333333333331</v>
      </c>
    </row>
    <row r="326" spans="1:12" x14ac:dyDescent="0.25">
      <c r="A326">
        <v>325</v>
      </c>
      <c r="B326" t="s">
        <v>1249</v>
      </c>
      <c r="C326" s="16">
        <v>7.827</v>
      </c>
      <c r="D326" s="12">
        <v>1</v>
      </c>
      <c r="E326" s="16">
        <v>5.3</v>
      </c>
      <c r="F326" s="16">
        <v>7.7</v>
      </c>
      <c r="G326" s="16">
        <v>7.702</v>
      </c>
      <c r="H326" s="16">
        <v>7.702</v>
      </c>
      <c r="I326" s="12">
        <v>1</v>
      </c>
      <c r="J326" s="16">
        <v>4.3</v>
      </c>
      <c r="K326" s="16">
        <v>7.7</v>
      </c>
      <c r="L326" s="33">
        <f t="shared" si="5"/>
        <v>1</v>
      </c>
    </row>
    <row r="327" spans="1:12" x14ac:dyDescent="0.25">
      <c r="A327">
        <v>326</v>
      </c>
      <c r="B327" s="10" t="s">
        <v>1187</v>
      </c>
      <c r="C327" s="16">
        <v>7.7560000000000002</v>
      </c>
      <c r="D327" s="12">
        <v>1</v>
      </c>
      <c r="E327" s="16">
        <v>5.3</v>
      </c>
      <c r="F327" s="16">
        <v>7.5</v>
      </c>
      <c r="G327" s="16">
        <v>7.5060000000000002</v>
      </c>
      <c r="H327" s="16">
        <v>7.5060000000000002</v>
      </c>
      <c r="I327" s="12">
        <v>1</v>
      </c>
      <c r="J327" s="16">
        <v>4.3</v>
      </c>
      <c r="K327" s="16">
        <v>7.5</v>
      </c>
      <c r="L327" s="33">
        <f t="shared" si="5"/>
        <v>1</v>
      </c>
    </row>
    <row r="328" spans="1:12" x14ac:dyDescent="0.25">
      <c r="A328">
        <v>327</v>
      </c>
      <c r="B328" s="5" t="s">
        <v>473</v>
      </c>
      <c r="C328" s="16">
        <v>7.7549999999999999</v>
      </c>
      <c r="D328" s="4">
        <v>1</v>
      </c>
      <c r="E328" s="16">
        <v>5.3</v>
      </c>
      <c r="F328" s="16">
        <v>7.5</v>
      </c>
      <c r="G328" s="16">
        <v>7.5049999999999999</v>
      </c>
      <c r="H328" s="16">
        <v>7.5049999999999999</v>
      </c>
      <c r="I328" s="12">
        <v>1</v>
      </c>
      <c r="J328" s="16">
        <v>4.3</v>
      </c>
      <c r="K328" s="16">
        <v>7.5</v>
      </c>
      <c r="L328" s="33">
        <f t="shared" si="5"/>
        <v>1</v>
      </c>
    </row>
    <row r="329" spans="1:12" x14ac:dyDescent="0.25">
      <c r="A329">
        <v>328</v>
      </c>
      <c r="B329" t="s">
        <v>204</v>
      </c>
      <c r="C329" s="16">
        <v>14.605</v>
      </c>
      <c r="D329" s="12">
        <v>2</v>
      </c>
      <c r="E329" s="16">
        <v>6.1</v>
      </c>
      <c r="F329" s="16">
        <v>7.1</v>
      </c>
      <c r="G329" s="16">
        <v>14.105</v>
      </c>
      <c r="H329" s="16">
        <v>7.5010000000000003</v>
      </c>
      <c r="I329" s="12">
        <v>1</v>
      </c>
      <c r="J329" s="16">
        <v>4.3</v>
      </c>
      <c r="K329" s="16">
        <v>7.5</v>
      </c>
      <c r="L329" s="33">
        <f t="shared" si="5"/>
        <v>0.5</v>
      </c>
    </row>
    <row r="330" spans="1:12" x14ac:dyDescent="0.25">
      <c r="A330">
        <v>329</v>
      </c>
      <c r="B330" t="s">
        <v>960</v>
      </c>
      <c r="C330" s="16">
        <v>7.7069999999999999</v>
      </c>
      <c r="D330" s="12">
        <v>1</v>
      </c>
      <c r="E330" s="16">
        <v>5.2</v>
      </c>
      <c r="F330" s="16">
        <v>7.7</v>
      </c>
      <c r="G330" s="16">
        <v>7.7069999999999999</v>
      </c>
      <c r="H330" s="16">
        <v>7.7069999999999999</v>
      </c>
      <c r="I330" s="12">
        <v>1</v>
      </c>
      <c r="J330" s="16">
        <v>4.2</v>
      </c>
      <c r="K330" s="16">
        <v>7.7</v>
      </c>
      <c r="L330" s="33">
        <f t="shared" si="5"/>
        <v>1</v>
      </c>
    </row>
    <row r="331" spans="1:12" x14ac:dyDescent="0.25">
      <c r="A331">
        <v>330</v>
      </c>
      <c r="B331" t="s">
        <v>123</v>
      </c>
      <c r="C331" s="16">
        <v>12.056000000000001</v>
      </c>
      <c r="D331" s="12">
        <v>2</v>
      </c>
      <c r="E331" s="16">
        <v>4.8</v>
      </c>
      <c r="F331" s="16">
        <v>5.9</v>
      </c>
      <c r="G331" s="16">
        <v>11.806000000000001</v>
      </c>
      <c r="H331" s="16">
        <v>7.7060000000000004</v>
      </c>
      <c r="I331" s="12">
        <v>1</v>
      </c>
      <c r="J331" s="16">
        <v>4.2</v>
      </c>
      <c r="K331" s="16">
        <v>7.7</v>
      </c>
      <c r="L331" s="33">
        <f t="shared" si="5"/>
        <v>0.5</v>
      </c>
    </row>
    <row r="332" spans="1:12" x14ac:dyDescent="0.25">
      <c r="A332">
        <v>331</v>
      </c>
      <c r="B332" t="s">
        <v>376</v>
      </c>
      <c r="C332" s="16">
        <v>7.7050000000000001</v>
      </c>
      <c r="D332" s="12">
        <v>1</v>
      </c>
      <c r="E332" s="16">
        <v>5.2</v>
      </c>
      <c r="F332" s="16">
        <v>7.7</v>
      </c>
      <c r="G332" s="16">
        <v>7.7050000000000001</v>
      </c>
      <c r="H332" s="16">
        <v>7.7050000000000001</v>
      </c>
      <c r="I332" s="12">
        <v>1</v>
      </c>
      <c r="J332" s="16">
        <v>4.2</v>
      </c>
      <c r="K332" s="16">
        <v>7.7</v>
      </c>
      <c r="L332" s="33">
        <f t="shared" si="5"/>
        <v>1</v>
      </c>
    </row>
    <row r="333" spans="1:12" x14ac:dyDescent="0.25">
      <c r="A333">
        <v>332</v>
      </c>
      <c r="B333" t="s">
        <v>442</v>
      </c>
      <c r="C333" s="16">
        <v>7.7039999999999997</v>
      </c>
      <c r="D333" s="12">
        <v>1</v>
      </c>
      <c r="E333" s="16">
        <v>5.2</v>
      </c>
      <c r="F333" s="16">
        <v>7.7</v>
      </c>
      <c r="G333" s="16">
        <v>7.7039999999999997</v>
      </c>
      <c r="H333" s="16">
        <v>7.7039999999999997</v>
      </c>
      <c r="I333" s="12">
        <v>1</v>
      </c>
      <c r="J333" s="16">
        <v>4.2</v>
      </c>
      <c r="K333" s="16">
        <v>7.7</v>
      </c>
      <c r="L333" s="33">
        <f t="shared" si="5"/>
        <v>1</v>
      </c>
    </row>
    <row r="334" spans="1:12" x14ac:dyDescent="0.25">
      <c r="A334">
        <v>333</v>
      </c>
      <c r="B334" t="s">
        <v>153</v>
      </c>
      <c r="C334" s="16">
        <v>18.706</v>
      </c>
      <c r="D334" s="12">
        <v>3</v>
      </c>
      <c r="E334" s="16">
        <v>5.4</v>
      </c>
      <c r="F334" s="16">
        <v>6.2</v>
      </c>
      <c r="G334" s="16">
        <v>18.706</v>
      </c>
      <c r="H334" s="16">
        <v>7.7030000000000003</v>
      </c>
      <c r="I334" s="12">
        <v>1</v>
      </c>
      <c r="J334" s="16">
        <v>4.2</v>
      </c>
      <c r="K334" s="16">
        <v>7.7</v>
      </c>
      <c r="L334" s="33">
        <f t="shared" si="5"/>
        <v>0.33333333333333331</v>
      </c>
    </row>
    <row r="335" spans="1:12" x14ac:dyDescent="0.25">
      <c r="A335">
        <v>334</v>
      </c>
      <c r="B335" s="10" t="s">
        <v>1250</v>
      </c>
      <c r="C335" s="16">
        <v>7.702</v>
      </c>
      <c r="D335" s="12">
        <v>1</v>
      </c>
      <c r="E335" s="16">
        <v>5.2</v>
      </c>
      <c r="F335" s="16">
        <v>7.7</v>
      </c>
      <c r="G335" s="16">
        <v>7.702</v>
      </c>
      <c r="H335" s="16">
        <v>7.702</v>
      </c>
      <c r="I335" s="12">
        <v>1</v>
      </c>
      <c r="J335" s="16">
        <v>4.2</v>
      </c>
      <c r="K335" s="16">
        <v>7.7</v>
      </c>
      <c r="L335" s="33">
        <f t="shared" si="5"/>
        <v>1</v>
      </c>
    </row>
    <row r="336" spans="1:12" x14ac:dyDescent="0.25">
      <c r="A336">
        <v>335</v>
      </c>
      <c r="B336" t="s">
        <v>1070</v>
      </c>
      <c r="C336" s="16">
        <v>7.7009999999999996</v>
      </c>
      <c r="D336" s="12">
        <v>1</v>
      </c>
      <c r="E336" s="16">
        <v>5.2</v>
      </c>
      <c r="F336" s="16">
        <v>7.7</v>
      </c>
      <c r="G336" s="16">
        <v>7.7009999999999996</v>
      </c>
      <c r="H336" s="16">
        <v>7.7009999999999996</v>
      </c>
      <c r="I336" s="12">
        <v>1</v>
      </c>
      <c r="J336" s="16">
        <v>4.2</v>
      </c>
      <c r="K336" s="16">
        <v>7.7</v>
      </c>
      <c r="L336" s="33">
        <f t="shared" si="5"/>
        <v>1</v>
      </c>
    </row>
    <row r="337" spans="1:12" x14ac:dyDescent="0.25">
      <c r="A337">
        <v>336</v>
      </c>
      <c r="B337" t="s">
        <v>1063</v>
      </c>
      <c r="C337" s="16">
        <v>7.7320000000000002</v>
      </c>
      <c r="D337" s="12">
        <v>1</v>
      </c>
      <c r="E337" s="16">
        <v>5.2</v>
      </c>
      <c r="F337" s="16">
        <v>7.6</v>
      </c>
      <c r="G337" s="16">
        <v>7.6070000000000002</v>
      </c>
      <c r="H337" s="16">
        <v>7.6070000000000002</v>
      </c>
      <c r="I337" s="12">
        <v>1</v>
      </c>
      <c r="J337" s="16">
        <v>4.2</v>
      </c>
      <c r="K337" s="16">
        <v>7.6</v>
      </c>
      <c r="L337" s="33">
        <f t="shared" si="5"/>
        <v>1</v>
      </c>
    </row>
    <row r="338" spans="1:12" x14ac:dyDescent="0.25">
      <c r="A338">
        <v>337</v>
      </c>
      <c r="B338" s="10" t="s">
        <v>319</v>
      </c>
      <c r="C338" s="16">
        <v>18.135000000000002</v>
      </c>
      <c r="D338" s="12">
        <v>3</v>
      </c>
      <c r="E338" s="16">
        <v>5.2</v>
      </c>
      <c r="F338" s="16">
        <v>6</v>
      </c>
      <c r="G338" s="16">
        <v>18.010000000000002</v>
      </c>
      <c r="H338" s="16">
        <v>7.6059999999999999</v>
      </c>
      <c r="I338" s="12">
        <v>1</v>
      </c>
      <c r="J338" s="16">
        <v>4.2</v>
      </c>
      <c r="K338" s="16">
        <v>7.6</v>
      </c>
      <c r="L338" s="33">
        <f t="shared" si="5"/>
        <v>0.33333333333333331</v>
      </c>
    </row>
    <row r="339" spans="1:12" x14ac:dyDescent="0.25">
      <c r="A339">
        <v>338</v>
      </c>
      <c r="B339" t="s">
        <v>913</v>
      </c>
      <c r="C339" s="16">
        <v>7.73</v>
      </c>
      <c r="D339" s="12">
        <v>1</v>
      </c>
      <c r="E339" s="16">
        <v>5.2</v>
      </c>
      <c r="F339" s="16">
        <v>7.6</v>
      </c>
      <c r="G339" s="16">
        <v>7.6050000000000004</v>
      </c>
      <c r="H339" s="16">
        <v>7.6050000000000004</v>
      </c>
      <c r="I339" s="12">
        <v>1</v>
      </c>
      <c r="J339" s="16">
        <v>4.2</v>
      </c>
      <c r="K339" s="16">
        <v>7.6</v>
      </c>
      <c r="L339" s="33">
        <f t="shared" si="5"/>
        <v>1</v>
      </c>
    </row>
    <row r="340" spans="1:12" x14ac:dyDescent="0.25">
      <c r="A340">
        <v>339</v>
      </c>
      <c r="B340" t="s">
        <v>1328</v>
      </c>
      <c r="C340" s="16">
        <v>14.632999999999999</v>
      </c>
      <c r="D340" s="12">
        <v>2</v>
      </c>
      <c r="E340" s="16">
        <v>6.1</v>
      </c>
      <c r="F340" s="16">
        <v>7.3</v>
      </c>
      <c r="G340" s="16">
        <v>14.507999999999999</v>
      </c>
      <c r="H340" s="16">
        <v>7.6029999999999998</v>
      </c>
      <c r="I340" s="12">
        <v>1</v>
      </c>
      <c r="J340" s="16">
        <v>4.2</v>
      </c>
      <c r="K340" s="16">
        <v>7.6</v>
      </c>
      <c r="L340" s="33">
        <f t="shared" si="5"/>
        <v>0.5</v>
      </c>
    </row>
    <row r="341" spans="1:12" x14ac:dyDescent="0.25">
      <c r="A341">
        <v>340</v>
      </c>
      <c r="B341" t="s">
        <v>1324</v>
      </c>
      <c r="C341" s="16">
        <v>7.7270000000000003</v>
      </c>
      <c r="D341" s="12">
        <v>1</v>
      </c>
      <c r="E341" s="16">
        <v>5.2</v>
      </c>
      <c r="F341" s="16">
        <v>7.6</v>
      </c>
      <c r="G341" s="16">
        <v>7.6020000000000003</v>
      </c>
      <c r="H341" s="16">
        <v>7.6020000000000003</v>
      </c>
      <c r="I341" s="12">
        <v>1</v>
      </c>
      <c r="J341" s="16">
        <v>4.2</v>
      </c>
      <c r="K341" s="16">
        <v>7.6</v>
      </c>
      <c r="L341" s="33">
        <f t="shared" si="5"/>
        <v>1</v>
      </c>
    </row>
    <row r="342" spans="1:12" x14ac:dyDescent="0.25">
      <c r="A342">
        <v>341</v>
      </c>
      <c r="B342" t="s">
        <v>1278</v>
      </c>
      <c r="C342" s="16">
        <v>7.726</v>
      </c>
      <c r="D342" s="12">
        <v>1</v>
      </c>
      <c r="E342" s="16">
        <v>5.2</v>
      </c>
      <c r="F342" s="16">
        <v>7.6</v>
      </c>
      <c r="G342" s="16">
        <v>7.601</v>
      </c>
      <c r="H342" s="16">
        <v>7.601</v>
      </c>
      <c r="I342" s="12">
        <v>1</v>
      </c>
      <c r="J342" s="16">
        <v>4.2</v>
      </c>
      <c r="K342" s="16">
        <v>7.6</v>
      </c>
      <c r="L342" s="33">
        <f t="shared" si="5"/>
        <v>1</v>
      </c>
    </row>
    <row r="343" spans="1:12" x14ac:dyDescent="0.25">
      <c r="A343">
        <v>342</v>
      </c>
      <c r="B343" t="s">
        <v>354</v>
      </c>
      <c r="C343" s="16">
        <v>7.6529999999999996</v>
      </c>
      <c r="D343" s="12">
        <v>1</v>
      </c>
      <c r="E343" s="16">
        <v>5.2</v>
      </c>
      <c r="F343" s="16">
        <v>7.4</v>
      </c>
      <c r="G343" s="16">
        <v>7.4029999999999996</v>
      </c>
      <c r="H343" s="16">
        <v>7.4029999999999996</v>
      </c>
      <c r="I343" s="12">
        <v>1</v>
      </c>
      <c r="J343" s="16">
        <v>4.2</v>
      </c>
      <c r="K343" s="16">
        <v>7.4</v>
      </c>
      <c r="L343" s="33">
        <f t="shared" si="5"/>
        <v>1</v>
      </c>
    </row>
    <row r="344" spans="1:12" x14ac:dyDescent="0.25">
      <c r="A344">
        <v>343</v>
      </c>
      <c r="B344" s="10" t="s">
        <v>765</v>
      </c>
      <c r="C344" s="16">
        <v>12.978</v>
      </c>
      <c r="D344" s="12">
        <v>2</v>
      </c>
      <c r="E344" s="16">
        <v>5.2</v>
      </c>
      <c r="F344" s="16">
        <v>6.3</v>
      </c>
      <c r="G344" s="16">
        <v>12.603</v>
      </c>
      <c r="H344" s="16">
        <v>7.4009999999999998</v>
      </c>
      <c r="I344" s="12">
        <v>1</v>
      </c>
      <c r="J344" s="16">
        <v>4.2</v>
      </c>
      <c r="K344" s="16">
        <v>7.4</v>
      </c>
      <c r="L344" s="33">
        <f t="shared" si="5"/>
        <v>0.5</v>
      </c>
    </row>
    <row r="345" spans="1:12" x14ac:dyDescent="0.25">
      <c r="A345">
        <v>344</v>
      </c>
      <c r="B345" s="10" t="s">
        <v>1065</v>
      </c>
      <c r="C345" s="16">
        <v>7.6070000000000002</v>
      </c>
      <c r="D345" s="12">
        <v>1</v>
      </c>
      <c r="E345" s="16">
        <v>5.0999999999999996</v>
      </c>
      <c r="F345" s="16">
        <v>7.6</v>
      </c>
      <c r="G345" s="16">
        <v>7.6070000000000002</v>
      </c>
      <c r="H345" s="16">
        <v>7.6070000000000002</v>
      </c>
      <c r="I345" s="12">
        <v>1</v>
      </c>
      <c r="J345" s="16">
        <v>4.0999999999999996</v>
      </c>
      <c r="K345" s="16">
        <v>7.6</v>
      </c>
      <c r="L345" s="33">
        <f t="shared" si="5"/>
        <v>1</v>
      </c>
    </row>
    <row r="346" spans="1:12" x14ac:dyDescent="0.25">
      <c r="A346">
        <v>345</v>
      </c>
      <c r="B346" t="s">
        <v>793</v>
      </c>
      <c r="C346" s="16">
        <v>7.6050000000000004</v>
      </c>
      <c r="D346" s="12">
        <v>1</v>
      </c>
      <c r="E346" s="16">
        <v>5.0999999999999996</v>
      </c>
      <c r="F346" s="16">
        <v>7.6</v>
      </c>
      <c r="G346" s="16">
        <v>7.6050000000000004</v>
      </c>
      <c r="H346" s="16">
        <v>7.6050000000000004</v>
      </c>
      <c r="I346" s="12">
        <v>1</v>
      </c>
      <c r="J346" s="16">
        <v>4.0999999999999996</v>
      </c>
      <c r="K346" s="16">
        <v>7.6</v>
      </c>
      <c r="L346" s="33">
        <f t="shared" si="5"/>
        <v>1</v>
      </c>
    </row>
    <row r="347" spans="1:12" x14ac:dyDescent="0.25">
      <c r="A347">
        <v>346</v>
      </c>
      <c r="B347" t="s">
        <v>390</v>
      </c>
      <c r="C347" s="16">
        <v>14.756</v>
      </c>
      <c r="D347" s="12">
        <v>2</v>
      </c>
      <c r="E347" s="16">
        <v>6.1</v>
      </c>
      <c r="F347" s="16">
        <v>7</v>
      </c>
      <c r="G347" s="16">
        <v>14.006</v>
      </c>
      <c r="H347" s="16">
        <v>7.6040000000000001</v>
      </c>
      <c r="I347" s="12">
        <v>1</v>
      </c>
      <c r="J347" s="16">
        <v>4.0999999999999996</v>
      </c>
      <c r="K347" s="16">
        <v>7.6</v>
      </c>
      <c r="L347" s="33">
        <f t="shared" si="5"/>
        <v>0.5</v>
      </c>
    </row>
    <row r="348" spans="1:12" x14ac:dyDescent="0.25">
      <c r="A348">
        <v>347</v>
      </c>
      <c r="B348" t="s">
        <v>857</v>
      </c>
      <c r="C348" s="16">
        <v>14.43</v>
      </c>
      <c r="D348" s="12">
        <v>2</v>
      </c>
      <c r="E348" s="16">
        <v>6</v>
      </c>
      <c r="F348" s="16">
        <v>7.2</v>
      </c>
      <c r="G348" s="16">
        <v>14.305</v>
      </c>
      <c r="H348" s="16">
        <v>7.6029999999999998</v>
      </c>
      <c r="I348" s="12">
        <v>1</v>
      </c>
      <c r="J348" s="16">
        <v>4.0999999999999996</v>
      </c>
      <c r="K348" s="16">
        <v>7.6</v>
      </c>
      <c r="L348" s="33">
        <f t="shared" si="5"/>
        <v>0.5</v>
      </c>
    </row>
    <row r="349" spans="1:12" x14ac:dyDescent="0.25">
      <c r="A349">
        <v>348</v>
      </c>
      <c r="B349" t="s">
        <v>1277</v>
      </c>
      <c r="C349" s="16">
        <v>7.601</v>
      </c>
      <c r="D349" s="12">
        <v>1</v>
      </c>
      <c r="E349" s="16">
        <v>5.0999999999999996</v>
      </c>
      <c r="F349" s="16">
        <v>7.6</v>
      </c>
      <c r="G349" s="16">
        <v>7.601</v>
      </c>
      <c r="H349" s="16">
        <v>7.601</v>
      </c>
      <c r="I349" s="12">
        <v>1</v>
      </c>
      <c r="J349" s="16">
        <v>4.0999999999999996</v>
      </c>
      <c r="K349" s="16">
        <v>7.6</v>
      </c>
      <c r="L349" s="33">
        <f t="shared" si="5"/>
        <v>1</v>
      </c>
    </row>
    <row r="350" spans="1:12" x14ac:dyDescent="0.25">
      <c r="A350">
        <v>349</v>
      </c>
      <c r="B350" t="s">
        <v>694</v>
      </c>
      <c r="C350" s="16">
        <v>7.6310000000000002</v>
      </c>
      <c r="D350" s="12">
        <v>1</v>
      </c>
      <c r="E350" s="16">
        <v>5.0999999999999996</v>
      </c>
      <c r="F350" s="16">
        <v>7.5</v>
      </c>
      <c r="G350" s="16">
        <v>7.5060000000000002</v>
      </c>
      <c r="H350" s="16">
        <v>7.5060000000000002</v>
      </c>
      <c r="I350" s="12">
        <v>1</v>
      </c>
      <c r="J350" s="16">
        <v>4.0999999999999996</v>
      </c>
      <c r="K350" s="16">
        <v>7.5</v>
      </c>
      <c r="L350" s="33">
        <f t="shared" si="5"/>
        <v>1</v>
      </c>
    </row>
    <row r="351" spans="1:12" x14ac:dyDescent="0.25">
      <c r="A351">
        <v>350</v>
      </c>
      <c r="B351" t="s">
        <v>474</v>
      </c>
      <c r="C351" s="16">
        <v>7.63</v>
      </c>
      <c r="D351" s="12">
        <v>1</v>
      </c>
      <c r="E351" s="16">
        <v>5.0999999999999996</v>
      </c>
      <c r="F351" s="16">
        <v>7.5</v>
      </c>
      <c r="G351" s="16">
        <v>7.5049999999999999</v>
      </c>
      <c r="H351" s="16">
        <v>7.5049999999999999</v>
      </c>
      <c r="I351" s="12">
        <v>1</v>
      </c>
      <c r="J351" s="16">
        <v>4.0999999999999996</v>
      </c>
      <c r="K351" s="16">
        <v>7.5</v>
      </c>
      <c r="L351" s="33">
        <f t="shared" si="5"/>
        <v>1</v>
      </c>
    </row>
    <row r="352" spans="1:12" x14ac:dyDescent="0.25">
      <c r="A352">
        <v>351</v>
      </c>
      <c r="B352" t="s">
        <v>348</v>
      </c>
      <c r="C352" s="16">
        <v>7.6289999999999996</v>
      </c>
      <c r="D352" s="12">
        <v>1</v>
      </c>
      <c r="E352" s="16">
        <v>5.0999999999999996</v>
      </c>
      <c r="F352" s="16">
        <v>7.5</v>
      </c>
      <c r="G352" s="16">
        <v>7.5039999999999996</v>
      </c>
      <c r="H352" s="16">
        <v>7.5039999999999996</v>
      </c>
      <c r="I352" s="12">
        <v>1</v>
      </c>
      <c r="J352" s="16">
        <v>4.0999999999999996</v>
      </c>
      <c r="K352" s="16">
        <v>7.5</v>
      </c>
      <c r="L352" s="33">
        <f t="shared" si="5"/>
        <v>1</v>
      </c>
    </row>
    <row r="353" spans="1:12" x14ac:dyDescent="0.25">
      <c r="A353">
        <v>352</v>
      </c>
      <c r="B353" t="s">
        <v>935</v>
      </c>
      <c r="C353" s="16">
        <v>7.6280000000000001</v>
      </c>
      <c r="D353" s="12">
        <v>1</v>
      </c>
      <c r="E353" s="16">
        <v>5.0999999999999996</v>
      </c>
      <c r="F353" s="16">
        <v>7.5</v>
      </c>
      <c r="G353" s="16">
        <v>7.5030000000000001</v>
      </c>
      <c r="H353" s="16">
        <v>7.5030000000000001</v>
      </c>
      <c r="I353" s="12">
        <v>1</v>
      </c>
      <c r="J353" s="16">
        <v>4.0999999999999996</v>
      </c>
      <c r="K353" s="16">
        <v>7.5</v>
      </c>
      <c r="L353" s="33">
        <f t="shared" si="5"/>
        <v>1</v>
      </c>
    </row>
    <row r="354" spans="1:12" x14ac:dyDescent="0.25">
      <c r="A354">
        <v>353</v>
      </c>
      <c r="B354" s="10" t="s">
        <v>1138</v>
      </c>
      <c r="C354" s="16">
        <v>14.777999999999999</v>
      </c>
      <c r="D354" s="12">
        <v>2</v>
      </c>
      <c r="E354" s="16">
        <v>6.1</v>
      </c>
      <c r="F354" s="16">
        <v>7</v>
      </c>
      <c r="G354" s="16">
        <v>13.902999999999999</v>
      </c>
      <c r="H354" s="16">
        <v>7.5019999999999998</v>
      </c>
      <c r="I354" s="12">
        <v>1</v>
      </c>
      <c r="J354" s="16">
        <v>4.0999999999999996</v>
      </c>
      <c r="K354" s="16">
        <v>7.5</v>
      </c>
      <c r="L354" s="33">
        <f t="shared" si="5"/>
        <v>0.5</v>
      </c>
    </row>
    <row r="355" spans="1:12" x14ac:dyDescent="0.25">
      <c r="A355">
        <v>354</v>
      </c>
      <c r="B355" t="s">
        <v>206</v>
      </c>
      <c r="C355" s="16">
        <v>7.6260000000000003</v>
      </c>
      <c r="D355" s="12">
        <v>1</v>
      </c>
      <c r="E355" s="16">
        <v>5.0999999999999996</v>
      </c>
      <c r="F355" s="16">
        <v>7.5</v>
      </c>
      <c r="G355" s="16">
        <v>7.5010000000000003</v>
      </c>
      <c r="H355" s="16">
        <v>7.5010000000000003</v>
      </c>
      <c r="I355" s="12">
        <v>1</v>
      </c>
      <c r="J355" s="16">
        <v>4.0999999999999996</v>
      </c>
      <c r="K355" s="16">
        <v>7.5</v>
      </c>
      <c r="L355" s="33">
        <f t="shared" si="5"/>
        <v>1</v>
      </c>
    </row>
    <row r="356" spans="1:12" x14ac:dyDescent="0.25">
      <c r="A356">
        <v>355</v>
      </c>
      <c r="B356" t="s">
        <v>524</v>
      </c>
      <c r="C356" s="16">
        <v>7.556</v>
      </c>
      <c r="D356" s="12">
        <v>1</v>
      </c>
      <c r="E356" s="16">
        <v>5.0999999999999996</v>
      </c>
      <c r="F356" s="16">
        <v>7.3</v>
      </c>
      <c r="G356" s="16">
        <v>7.306</v>
      </c>
      <c r="H356" s="16">
        <v>7.306</v>
      </c>
      <c r="I356" s="12">
        <v>1</v>
      </c>
      <c r="J356" s="16">
        <v>4.0999999999999996</v>
      </c>
      <c r="K356" s="16">
        <v>7.3</v>
      </c>
      <c r="L356" s="33">
        <f t="shared" si="5"/>
        <v>1</v>
      </c>
    </row>
    <row r="357" spans="1:12" x14ac:dyDescent="0.25">
      <c r="A357">
        <v>356</v>
      </c>
      <c r="B357" t="s">
        <v>679</v>
      </c>
      <c r="C357" s="16">
        <v>13.007</v>
      </c>
      <c r="D357" s="12">
        <v>2</v>
      </c>
      <c r="E357" s="16">
        <v>5.3</v>
      </c>
      <c r="F357" s="16">
        <v>6.3</v>
      </c>
      <c r="G357" s="16">
        <v>12.507</v>
      </c>
      <c r="H357" s="16">
        <v>7.3049999999999997</v>
      </c>
      <c r="I357" s="12">
        <v>1</v>
      </c>
      <c r="J357" s="16">
        <v>4.0999999999999996</v>
      </c>
      <c r="K357" s="16">
        <v>7.3</v>
      </c>
      <c r="L357" s="33">
        <f t="shared" si="5"/>
        <v>0.5</v>
      </c>
    </row>
    <row r="358" spans="1:12" x14ac:dyDescent="0.25">
      <c r="A358">
        <v>357</v>
      </c>
      <c r="B358" t="s">
        <v>1311</v>
      </c>
      <c r="C358" s="16">
        <v>7.5510000000000002</v>
      </c>
      <c r="D358" s="12">
        <v>1</v>
      </c>
      <c r="E358" s="16">
        <v>5.0999999999999996</v>
      </c>
      <c r="F358" s="16">
        <v>7.3</v>
      </c>
      <c r="G358" s="16">
        <v>7.3010000000000002</v>
      </c>
      <c r="H358" s="16">
        <v>7.3010000000000002</v>
      </c>
      <c r="I358" s="12">
        <v>1</v>
      </c>
      <c r="J358" s="16">
        <v>4.0999999999999996</v>
      </c>
      <c r="K358" s="16">
        <v>7.3</v>
      </c>
      <c r="L358" s="33">
        <f t="shared" si="5"/>
        <v>1</v>
      </c>
    </row>
    <row r="359" spans="1:12" x14ac:dyDescent="0.25">
      <c r="A359">
        <v>358</v>
      </c>
      <c r="B359" t="s">
        <v>475</v>
      </c>
      <c r="C359" s="16">
        <v>7.5049999999999999</v>
      </c>
      <c r="D359" s="12">
        <v>1</v>
      </c>
      <c r="E359" s="16">
        <v>5</v>
      </c>
      <c r="F359" s="16">
        <v>7.5</v>
      </c>
      <c r="G359" s="16">
        <v>7.5049999999999999</v>
      </c>
      <c r="H359" s="16">
        <v>7.5049999999999999</v>
      </c>
      <c r="I359" s="12">
        <v>1</v>
      </c>
      <c r="J359" s="16">
        <v>4</v>
      </c>
      <c r="K359" s="16">
        <v>7.5</v>
      </c>
      <c r="L359" s="33">
        <f t="shared" si="5"/>
        <v>1</v>
      </c>
    </row>
    <row r="360" spans="1:12" x14ac:dyDescent="0.25">
      <c r="A360">
        <v>359</v>
      </c>
      <c r="B360" t="s">
        <v>1188</v>
      </c>
      <c r="C360" s="16">
        <v>7.5039999999999996</v>
      </c>
      <c r="D360" s="12">
        <v>1</v>
      </c>
      <c r="E360" s="16">
        <v>5</v>
      </c>
      <c r="F360" s="16">
        <v>7.5</v>
      </c>
      <c r="G360" s="16">
        <v>7.5039999999999996</v>
      </c>
      <c r="H360" s="16">
        <v>7.5039999999999996</v>
      </c>
      <c r="I360" s="12">
        <v>1</v>
      </c>
      <c r="J360" s="16">
        <v>4</v>
      </c>
      <c r="K360" s="16">
        <v>7.5</v>
      </c>
      <c r="L360" s="33">
        <f t="shared" si="5"/>
        <v>1</v>
      </c>
    </row>
    <row r="361" spans="1:12" x14ac:dyDescent="0.25">
      <c r="A361">
        <v>360</v>
      </c>
      <c r="B361" t="s">
        <v>936</v>
      </c>
      <c r="C361" s="16">
        <v>7.5030000000000001</v>
      </c>
      <c r="D361" s="4">
        <v>1</v>
      </c>
      <c r="E361" s="16">
        <v>5</v>
      </c>
      <c r="F361" s="16">
        <v>7.5</v>
      </c>
      <c r="G361" s="16">
        <v>7.5030000000000001</v>
      </c>
      <c r="H361" s="16">
        <v>7.5030000000000001</v>
      </c>
      <c r="I361" s="12">
        <v>1</v>
      </c>
      <c r="J361" s="16">
        <v>4</v>
      </c>
      <c r="K361" s="16">
        <v>7.5</v>
      </c>
      <c r="L361" s="33">
        <f t="shared" si="5"/>
        <v>1</v>
      </c>
    </row>
    <row r="362" spans="1:12" x14ac:dyDescent="0.25">
      <c r="A362">
        <v>361</v>
      </c>
      <c r="B362" t="s">
        <v>1139</v>
      </c>
      <c r="C362" s="16">
        <v>14.027999999999999</v>
      </c>
      <c r="D362" s="12">
        <v>2</v>
      </c>
      <c r="E362" s="16">
        <v>5.8</v>
      </c>
      <c r="F362" s="16">
        <v>7</v>
      </c>
      <c r="G362" s="16">
        <v>13.902999999999999</v>
      </c>
      <c r="H362" s="16">
        <v>7.5019999999999998</v>
      </c>
      <c r="I362" s="12">
        <v>1</v>
      </c>
      <c r="J362" s="16">
        <v>4</v>
      </c>
      <c r="K362" s="16">
        <v>7.5</v>
      </c>
      <c r="L362" s="33">
        <f t="shared" si="5"/>
        <v>0.5</v>
      </c>
    </row>
    <row r="363" spans="1:12" x14ac:dyDescent="0.25">
      <c r="A363">
        <v>362</v>
      </c>
      <c r="B363" t="s">
        <v>205</v>
      </c>
      <c r="C363" s="16">
        <v>14.105</v>
      </c>
      <c r="D363" s="12">
        <v>2</v>
      </c>
      <c r="E363" s="16">
        <v>5.8</v>
      </c>
      <c r="F363" s="16">
        <v>7.1</v>
      </c>
      <c r="G363" s="16">
        <v>14.105</v>
      </c>
      <c r="H363" s="16">
        <v>7.5010000000000003</v>
      </c>
      <c r="I363" s="12">
        <v>1</v>
      </c>
      <c r="J363" s="16">
        <v>4</v>
      </c>
      <c r="K363" s="16">
        <v>7.5</v>
      </c>
      <c r="L363" s="33">
        <f t="shared" si="5"/>
        <v>0.5</v>
      </c>
    </row>
    <row r="364" spans="1:12" x14ac:dyDescent="0.25">
      <c r="A364">
        <v>363</v>
      </c>
      <c r="B364" s="10" t="s">
        <v>253</v>
      </c>
      <c r="C364" s="16">
        <v>7.5289999999999999</v>
      </c>
      <c r="D364" s="12">
        <v>1</v>
      </c>
      <c r="E364" s="16">
        <v>5</v>
      </c>
      <c r="F364" s="16">
        <v>7.4</v>
      </c>
      <c r="G364" s="16">
        <v>7.4039999999999999</v>
      </c>
      <c r="H364" s="16">
        <v>7.4039999999999999</v>
      </c>
      <c r="I364" s="12">
        <v>1</v>
      </c>
      <c r="J364" s="16">
        <v>4</v>
      </c>
      <c r="K364" s="16">
        <v>7.4</v>
      </c>
      <c r="L364" s="33">
        <f t="shared" si="5"/>
        <v>1</v>
      </c>
    </row>
    <row r="365" spans="1:12" x14ac:dyDescent="0.25">
      <c r="A365">
        <v>364</v>
      </c>
      <c r="B365" t="s">
        <v>207</v>
      </c>
      <c r="C365" s="16">
        <v>14.257</v>
      </c>
      <c r="D365" s="12">
        <v>2</v>
      </c>
      <c r="E365" s="16">
        <v>5.9</v>
      </c>
      <c r="F365" s="16">
        <v>7</v>
      </c>
      <c r="G365" s="16">
        <v>14.007</v>
      </c>
      <c r="H365" s="16">
        <v>7.4029999999999996</v>
      </c>
      <c r="I365" s="12">
        <v>1</v>
      </c>
      <c r="J365" s="16">
        <v>4</v>
      </c>
      <c r="K365" s="16">
        <v>7.4</v>
      </c>
      <c r="L365" s="33">
        <f t="shared" si="5"/>
        <v>0.5</v>
      </c>
    </row>
    <row r="366" spans="1:12" x14ac:dyDescent="0.25">
      <c r="A366">
        <v>365</v>
      </c>
      <c r="B366" s="10" t="s">
        <v>1098</v>
      </c>
      <c r="C366" s="16">
        <v>20.265999999999998</v>
      </c>
      <c r="D366" s="12">
        <v>3</v>
      </c>
      <c r="E366" s="16">
        <v>5.9</v>
      </c>
      <c r="F366" s="16">
        <v>6.5</v>
      </c>
      <c r="G366" s="16">
        <v>19.515999999999998</v>
      </c>
      <c r="H366" s="16">
        <v>7.2060000000000004</v>
      </c>
      <c r="I366" s="12">
        <v>1</v>
      </c>
      <c r="J366" s="16">
        <v>4</v>
      </c>
      <c r="K366" s="16">
        <v>7.2</v>
      </c>
      <c r="L366" s="33">
        <f t="shared" si="5"/>
        <v>0.33333333333333331</v>
      </c>
    </row>
    <row r="367" spans="1:12" x14ac:dyDescent="0.25">
      <c r="A367">
        <v>366</v>
      </c>
      <c r="B367" s="5" t="s">
        <v>294</v>
      </c>
      <c r="C367" s="16">
        <v>7.4550000000000001</v>
      </c>
      <c r="D367" s="12">
        <v>1</v>
      </c>
      <c r="E367" s="16">
        <v>5</v>
      </c>
      <c r="F367" s="16">
        <v>7.2</v>
      </c>
      <c r="G367" s="16">
        <v>7.2050000000000001</v>
      </c>
      <c r="H367" s="16">
        <v>7.2050000000000001</v>
      </c>
      <c r="I367" s="12">
        <v>1</v>
      </c>
      <c r="J367" s="16">
        <v>4</v>
      </c>
      <c r="K367" s="16">
        <v>7.2</v>
      </c>
      <c r="L367" s="33">
        <f t="shared" si="5"/>
        <v>1</v>
      </c>
    </row>
    <row r="368" spans="1:12" x14ac:dyDescent="0.25">
      <c r="A368">
        <v>367</v>
      </c>
      <c r="B368" t="s">
        <v>178</v>
      </c>
      <c r="C368" s="16">
        <v>7.4539999999999997</v>
      </c>
      <c r="D368" s="12">
        <v>1</v>
      </c>
      <c r="E368" s="16">
        <v>5</v>
      </c>
      <c r="F368" s="16">
        <v>7.2</v>
      </c>
      <c r="G368" s="16">
        <v>7.2039999999999997</v>
      </c>
      <c r="H368" s="16">
        <v>7.2039999999999997</v>
      </c>
      <c r="I368" s="12">
        <v>1</v>
      </c>
      <c r="J368" s="16">
        <v>4</v>
      </c>
      <c r="K368" s="16">
        <v>7.2</v>
      </c>
      <c r="L368" s="33">
        <f t="shared" si="5"/>
        <v>1</v>
      </c>
    </row>
    <row r="369" spans="1:12" x14ac:dyDescent="0.25">
      <c r="A369">
        <v>368</v>
      </c>
      <c r="B369" t="s">
        <v>1189</v>
      </c>
      <c r="C369" s="16">
        <v>7.452</v>
      </c>
      <c r="D369" s="12">
        <v>1</v>
      </c>
      <c r="E369" s="16">
        <v>5</v>
      </c>
      <c r="F369" s="16">
        <v>7.2</v>
      </c>
      <c r="G369" s="16">
        <v>7.202</v>
      </c>
      <c r="H369" s="16">
        <v>7.202</v>
      </c>
      <c r="I369" s="12">
        <v>1</v>
      </c>
      <c r="J369" s="16">
        <v>4</v>
      </c>
      <c r="K369" s="16">
        <v>7.2</v>
      </c>
      <c r="L369" s="33">
        <f t="shared" si="5"/>
        <v>1</v>
      </c>
    </row>
    <row r="370" spans="1:12" x14ac:dyDescent="0.25">
      <c r="A370">
        <v>369</v>
      </c>
      <c r="B370" t="s">
        <v>426</v>
      </c>
      <c r="C370" s="16">
        <v>7.4509999999999996</v>
      </c>
      <c r="D370" s="12">
        <v>1</v>
      </c>
      <c r="E370" s="16">
        <v>5</v>
      </c>
      <c r="F370" s="16">
        <v>7.2</v>
      </c>
      <c r="G370" s="16">
        <v>7.2009999999999996</v>
      </c>
      <c r="H370" s="16">
        <v>7.2009999999999996</v>
      </c>
      <c r="I370" s="12">
        <v>1</v>
      </c>
      <c r="J370" s="16">
        <v>4</v>
      </c>
      <c r="K370" s="16">
        <v>7.2</v>
      </c>
      <c r="L370" s="33">
        <f t="shared" si="5"/>
        <v>1</v>
      </c>
    </row>
    <row r="371" spans="1:12" x14ac:dyDescent="0.25">
      <c r="A371">
        <v>370</v>
      </c>
      <c r="B371" s="10" t="s">
        <v>1021</v>
      </c>
      <c r="C371" s="16">
        <v>20.36</v>
      </c>
      <c r="D371" s="12">
        <v>3</v>
      </c>
      <c r="E371" s="16">
        <v>6</v>
      </c>
      <c r="F371" s="16">
        <v>6.7</v>
      </c>
      <c r="G371" s="16">
        <v>20.11</v>
      </c>
      <c r="H371" s="16">
        <v>7.4059999999999997</v>
      </c>
      <c r="I371" s="12">
        <v>1</v>
      </c>
      <c r="J371" s="16">
        <v>3.9</v>
      </c>
      <c r="K371" s="16">
        <v>7.4</v>
      </c>
      <c r="L371" s="33">
        <f t="shared" si="5"/>
        <v>0.33333333333333331</v>
      </c>
    </row>
    <row r="372" spans="1:12" x14ac:dyDescent="0.25">
      <c r="A372">
        <v>371</v>
      </c>
      <c r="B372" t="s">
        <v>271</v>
      </c>
      <c r="C372" s="16">
        <v>13.634</v>
      </c>
      <c r="D372" s="12">
        <v>2</v>
      </c>
      <c r="E372" s="16">
        <v>5.6</v>
      </c>
      <c r="F372" s="16">
        <v>6.8</v>
      </c>
      <c r="G372" s="16">
        <v>13.509</v>
      </c>
      <c r="H372" s="16">
        <v>7.4050000000000002</v>
      </c>
      <c r="I372" s="12">
        <v>1</v>
      </c>
      <c r="J372" s="16">
        <v>3.9</v>
      </c>
      <c r="K372" s="16">
        <v>7.4</v>
      </c>
      <c r="L372" s="33">
        <f t="shared" si="5"/>
        <v>0.5</v>
      </c>
    </row>
    <row r="373" spans="1:12" x14ac:dyDescent="0.25">
      <c r="A373">
        <v>372</v>
      </c>
      <c r="B373" t="s">
        <v>254</v>
      </c>
      <c r="C373" s="16">
        <v>7.4039999999999999</v>
      </c>
      <c r="D373" s="12">
        <v>1</v>
      </c>
      <c r="E373" s="16">
        <v>4.9000000000000004</v>
      </c>
      <c r="F373" s="16">
        <v>7.4</v>
      </c>
      <c r="G373" s="16">
        <v>7.4039999999999999</v>
      </c>
      <c r="H373" s="16">
        <v>7.4039999999999999</v>
      </c>
      <c r="I373" s="12">
        <v>1</v>
      </c>
      <c r="J373" s="16">
        <v>3.9</v>
      </c>
      <c r="K373" s="16">
        <v>7.4</v>
      </c>
      <c r="L373" s="33">
        <f t="shared" si="5"/>
        <v>1</v>
      </c>
    </row>
    <row r="374" spans="1:12" x14ac:dyDescent="0.25">
      <c r="A374">
        <v>373</v>
      </c>
      <c r="B374" s="10" t="s">
        <v>355</v>
      </c>
      <c r="C374" s="16">
        <v>13.632999999999999</v>
      </c>
      <c r="D374" s="12">
        <v>2</v>
      </c>
      <c r="E374" s="16">
        <v>5.6</v>
      </c>
      <c r="F374" s="16">
        <v>6.8</v>
      </c>
      <c r="G374" s="16">
        <v>13.507999999999999</v>
      </c>
      <c r="H374" s="16">
        <v>7.4029999999999996</v>
      </c>
      <c r="I374" s="12">
        <v>1</v>
      </c>
      <c r="J374" s="16">
        <v>3.9</v>
      </c>
      <c r="K374" s="16">
        <v>7.4</v>
      </c>
      <c r="L374" s="33">
        <f t="shared" si="5"/>
        <v>0.5</v>
      </c>
    </row>
    <row r="375" spans="1:12" x14ac:dyDescent="0.25">
      <c r="A375">
        <v>374</v>
      </c>
      <c r="B375" t="s">
        <v>895</v>
      </c>
      <c r="C375" s="16">
        <v>7.4009999999999998</v>
      </c>
      <c r="D375" s="12">
        <v>1</v>
      </c>
      <c r="E375" s="16">
        <v>4.9000000000000004</v>
      </c>
      <c r="F375" s="16">
        <v>7.4</v>
      </c>
      <c r="G375" s="16">
        <v>7.4009999999999998</v>
      </c>
      <c r="H375" s="16">
        <v>7.4009999999999998</v>
      </c>
      <c r="I375" s="12">
        <v>1</v>
      </c>
      <c r="J375" s="16">
        <v>3.9</v>
      </c>
      <c r="K375" s="16">
        <v>7.4</v>
      </c>
      <c r="L375" s="33">
        <f t="shared" si="5"/>
        <v>1</v>
      </c>
    </row>
    <row r="376" spans="1:12" x14ac:dyDescent="0.25">
      <c r="A376">
        <v>375</v>
      </c>
      <c r="B376" s="10" t="s">
        <v>1190</v>
      </c>
      <c r="C376" s="16">
        <v>12.958</v>
      </c>
      <c r="D376" s="12">
        <v>2</v>
      </c>
      <c r="E376" s="16">
        <v>5.2</v>
      </c>
      <c r="F376" s="16">
        <v>6.4</v>
      </c>
      <c r="G376" s="16">
        <v>12.708</v>
      </c>
      <c r="H376" s="16">
        <v>7.3070000000000004</v>
      </c>
      <c r="I376" s="12">
        <v>1</v>
      </c>
      <c r="J376" s="16">
        <v>3.9</v>
      </c>
      <c r="K376" s="16">
        <v>7.3</v>
      </c>
      <c r="L376" s="33">
        <f t="shared" si="5"/>
        <v>0.5</v>
      </c>
    </row>
    <row r="377" spans="1:12" x14ac:dyDescent="0.25">
      <c r="A377">
        <v>376</v>
      </c>
      <c r="B377" t="s">
        <v>1243</v>
      </c>
      <c r="C377" s="16">
        <v>7.431</v>
      </c>
      <c r="D377" s="12">
        <v>1</v>
      </c>
      <c r="E377" s="16">
        <v>4.9000000000000004</v>
      </c>
      <c r="F377" s="16">
        <v>7.3</v>
      </c>
      <c r="G377" s="16">
        <v>7.306</v>
      </c>
      <c r="H377" s="16">
        <v>7.306</v>
      </c>
      <c r="I377" s="12">
        <v>1</v>
      </c>
      <c r="J377" s="16">
        <v>3.9</v>
      </c>
      <c r="K377" s="16">
        <v>7.3</v>
      </c>
      <c r="L377" s="33">
        <f t="shared" si="5"/>
        <v>1</v>
      </c>
    </row>
    <row r="378" spans="1:12" x14ac:dyDescent="0.25">
      <c r="A378">
        <v>377</v>
      </c>
      <c r="B378" t="s">
        <v>680</v>
      </c>
      <c r="C378" s="16">
        <v>7.43</v>
      </c>
      <c r="D378" s="12">
        <v>1</v>
      </c>
      <c r="E378" s="16">
        <v>4.9000000000000004</v>
      </c>
      <c r="F378" s="16">
        <v>7.3</v>
      </c>
      <c r="G378" s="16">
        <v>7.3049999999999997</v>
      </c>
      <c r="H378" s="16">
        <v>7.3049999999999997</v>
      </c>
      <c r="I378" s="12">
        <v>1</v>
      </c>
      <c r="J378" s="16">
        <v>3.9</v>
      </c>
      <c r="K378" s="16">
        <v>7.3</v>
      </c>
      <c r="L378" s="33">
        <f t="shared" si="5"/>
        <v>1</v>
      </c>
    </row>
    <row r="379" spans="1:12" x14ac:dyDescent="0.25">
      <c r="A379">
        <v>378</v>
      </c>
      <c r="B379" t="s">
        <v>953</v>
      </c>
      <c r="C379" s="16">
        <v>7.4269999999999996</v>
      </c>
      <c r="D379" s="4">
        <v>1</v>
      </c>
      <c r="E379" s="16">
        <v>4.9000000000000004</v>
      </c>
      <c r="F379" s="16">
        <v>7.3</v>
      </c>
      <c r="G379" s="16">
        <v>7.3019999999999996</v>
      </c>
      <c r="H379" s="16">
        <v>7.3019999999999996</v>
      </c>
      <c r="I379" s="12">
        <v>1</v>
      </c>
      <c r="J379" s="16">
        <v>3.9</v>
      </c>
      <c r="K379" s="16">
        <v>7.3</v>
      </c>
      <c r="L379" s="33">
        <f t="shared" si="5"/>
        <v>1</v>
      </c>
    </row>
    <row r="380" spans="1:12" x14ac:dyDescent="0.25">
      <c r="A380">
        <v>379</v>
      </c>
      <c r="B380" t="s">
        <v>1312</v>
      </c>
      <c r="C380" s="16">
        <v>7.4260000000000002</v>
      </c>
      <c r="D380" s="12">
        <v>1</v>
      </c>
      <c r="E380" s="16">
        <v>4.9000000000000004</v>
      </c>
      <c r="F380" s="16">
        <v>7.3</v>
      </c>
      <c r="G380" s="16">
        <v>7.3010000000000002</v>
      </c>
      <c r="H380" s="16">
        <v>7.3010000000000002</v>
      </c>
      <c r="I380" s="12">
        <v>1</v>
      </c>
      <c r="J380" s="16">
        <v>3.9</v>
      </c>
      <c r="K380" s="16">
        <v>7.3</v>
      </c>
      <c r="L380" s="33">
        <f t="shared" si="5"/>
        <v>1</v>
      </c>
    </row>
    <row r="381" spans="1:12" x14ac:dyDescent="0.25">
      <c r="A381">
        <v>380</v>
      </c>
      <c r="B381" t="s">
        <v>1072</v>
      </c>
      <c r="C381" s="16">
        <v>14.207000000000001</v>
      </c>
      <c r="D381" s="12">
        <v>2</v>
      </c>
      <c r="E381" s="16">
        <v>5.9</v>
      </c>
      <c r="F381" s="16">
        <v>6.9</v>
      </c>
      <c r="G381" s="16">
        <v>13.707000000000001</v>
      </c>
      <c r="H381" s="16">
        <v>7.101</v>
      </c>
      <c r="I381" s="12">
        <v>1</v>
      </c>
      <c r="J381" s="16">
        <v>3.9</v>
      </c>
      <c r="K381" s="16">
        <v>7.1</v>
      </c>
      <c r="L381" s="33">
        <f t="shared" si="5"/>
        <v>0.5</v>
      </c>
    </row>
    <row r="382" spans="1:12" x14ac:dyDescent="0.25">
      <c r="A382">
        <v>381</v>
      </c>
      <c r="B382" t="s">
        <v>1191</v>
      </c>
      <c r="C382" s="16">
        <v>7.3070000000000004</v>
      </c>
      <c r="D382" s="12">
        <v>1</v>
      </c>
      <c r="E382" s="16">
        <v>4.8</v>
      </c>
      <c r="F382" s="16">
        <v>7.3</v>
      </c>
      <c r="G382" s="16">
        <v>7.3070000000000004</v>
      </c>
      <c r="H382" s="16">
        <v>7.3070000000000004</v>
      </c>
      <c r="I382" s="12">
        <v>1</v>
      </c>
      <c r="J382" s="16">
        <v>3.8</v>
      </c>
      <c r="K382" s="16">
        <v>7.3</v>
      </c>
      <c r="L382" s="33">
        <f t="shared" si="5"/>
        <v>1</v>
      </c>
    </row>
    <row r="383" spans="1:12" x14ac:dyDescent="0.25">
      <c r="A383">
        <v>382</v>
      </c>
      <c r="B383" t="s">
        <v>1244</v>
      </c>
      <c r="C383" s="16">
        <v>7.306</v>
      </c>
      <c r="D383" s="12">
        <v>1</v>
      </c>
      <c r="E383" s="16">
        <v>4.8</v>
      </c>
      <c r="F383" s="16">
        <v>7.3</v>
      </c>
      <c r="G383" s="16">
        <v>7.306</v>
      </c>
      <c r="H383" s="16">
        <v>7.306</v>
      </c>
      <c r="I383" s="12">
        <v>1</v>
      </c>
      <c r="J383" s="16">
        <v>3.8</v>
      </c>
      <c r="K383" s="16">
        <v>7.3</v>
      </c>
      <c r="L383" s="33">
        <f t="shared" si="5"/>
        <v>1</v>
      </c>
    </row>
    <row r="384" spans="1:12" x14ac:dyDescent="0.25">
      <c r="A384">
        <v>383</v>
      </c>
      <c r="B384" s="5" t="s">
        <v>1313</v>
      </c>
      <c r="C384" s="16">
        <v>7.3010000000000002</v>
      </c>
      <c r="D384" s="12">
        <v>1</v>
      </c>
      <c r="E384" s="16">
        <v>4.8</v>
      </c>
      <c r="F384" s="16">
        <v>7.3</v>
      </c>
      <c r="G384" s="16">
        <v>7.3010000000000002</v>
      </c>
      <c r="H384" s="16">
        <v>7.3010000000000002</v>
      </c>
      <c r="I384" s="12">
        <v>1</v>
      </c>
      <c r="J384" s="16">
        <v>3.8</v>
      </c>
      <c r="K384" s="16">
        <v>7.3</v>
      </c>
      <c r="L384" s="33">
        <f t="shared" si="5"/>
        <v>1</v>
      </c>
    </row>
    <row r="385" spans="1:12" x14ac:dyDescent="0.25">
      <c r="A385">
        <v>384</v>
      </c>
      <c r="B385" t="s">
        <v>1099</v>
      </c>
      <c r="C385" s="16">
        <v>19.765999999999998</v>
      </c>
      <c r="D385" s="12">
        <v>3</v>
      </c>
      <c r="E385" s="16">
        <v>5.8</v>
      </c>
      <c r="F385" s="16">
        <v>6.5</v>
      </c>
      <c r="G385" s="16">
        <v>19.515999999999998</v>
      </c>
      <c r="H385" s="16">
        <v>7.2060000000000004</v>
      </c>
      <c r="I385" s="12">
        <v>1</v>
      </c>
      <c r="J385" s="16">
        <v>3.8</v>
      </c>
      <c r="K385" s="16">
        <v>7.2</v>
      </c>
      <c r="L385" s="33">
        <f t="shared" si="5"/>
        <v>0.33333333333333331</v>
      </c>
    </row>
    <row r="386" spans="1:12" x14ac:dyDescent="0.25">
      <c r="A386">
        <v>385</v>
      </c>
      <c r="B386" s="10" t="s">
        <v>277</v>
      </c>
      <c r="C386" s="16">
        <v>7.327</v>
      </c>
      <c r="D386" s="12">
        <v>1</v>
      </c>
      <c r="E386" s="16">
        <v>4.8</v>
      </c>
      <c r="F386" s="16">
        <v>7.2</v>
      </c>
      <c r="G386" s="16">
        <v>7.202</v>
      </c>
      <c r="H386" s="16">
        <v>7.202</v>
      </c>
      <c r="I386" s="12">
        <v>1</v>
      </c>
      <c r="J386" s="16">
        <v>3.8</v>
      </c>
      <c r="K386" s="16">
        <v>7.2</v>
      </c>
      <c r="L386" s="33">
        <f t="shared" ref="L386:L449" si="6">I386/D386</f>
        <v>1</v>
      </c>
    </row>
    <row r="387" spans="1:12" x14ac:dyDescent="0.25">
      <c r="A387">
        <v>386</v>
      </c>
      <c r="B387" t="s">
        <v>1101</v>
      </c>
      <c r="C387" s="16">
        <v>7.2060000000000004</v>
      </c>
      <c r="D387" s="12">
        <v>1</v>
      </c>
      <c r="E387" s="16">
        <v>4.7</v>
      </c>
      <c r="F387" s="16">
        <v>7.2</v>
      </c>
      <c r="G387" s="16">
        <v>7.2060000000000004</v>
      </c>
      <c r="H387" s="16">
        <v>7.2060000000000004</v>
      </c>
      <c r="I387" s="12">
        <v>1</v>
      </c>
      <c r="J387" s="16">
        <v>3.7</v>
      </c>
      <c r="K387" s="16">
        <v>7.2</v>
      </c>
      <c r="L387" s="33">
        <f t="shared" si="6"/>
        <v>1</v>
      </c>
    </row>
    <row r="388" spans="1:12" x14ac:dyDescent="0.25">
      <c r="A388">
        <v>387</v>
      </c>
      <c r="B388" t="s">
        <v>295</v>
      </c>
      <c r="C388" s="16">
        <v>7.2050000000000001</v>
      </c>
      <c r="D388" s="12">
        <v>1</v>
      </c>
      <c r="E388" s="16">
        <v>4.7</v>
      </c>
      <c r="F388" s="16">
        <v>7.2</v>
      </c>
      <c r="G388" s="16">
        <v>7.2050000000000001</v>
      </c>
      <c r="H388" s="16">
        <v>7.2050000000000001</v>
      </c>
      <c r="I388" s="12">
        <v>1</v>
      </c>
      <c r="J388" s="16">
        <v>3.7</v>
      </c>
      <c r="K388" s="16">
        <v>7.2</v>
      </c>
      <c r="L388" s="33">
        <f t="shared" si="6"/>
        <v>1</v>
      </c>
    </row>
    <row r="389" spans="1:12" x14ac:dyDescent="0.25">
      <c r="A389">
        <v>388</v>
      </c>
      <c r="B389" t="s">
        <v>179</v>
      </c>
      <c r="C389" s="16">
        <v>7.2039999999999997</v>
      </c>
      <c r="D389" s="12">
        <v>1</v>
      </c>
      <c r="E389" s="16">
        <v>4.7</v>
      </c>
      <c r="F389" s="16">
        <v>7.2</v>
      </c>
      <c r="G389" s="16">
        <v>7.2039999999999997</v>
      </c>
      <c r="H389" s="16">
        <v>7.2039999999999997</v>
      </c>
      <c r="I389" s="12">
        <v>1</v>
      </c>
      <c r="J389" s="16">
        <v>3.7</v>
      </c>
      <c r="K389" s="16">
        <v>7.2</v>
      </c>
      <c r="L389" s="33">
        <f t="shared" si="6"/>
        <v>1</v>
      </c>
    </row>
    <row r="390" spans="1:12" x14ac:dyDescent="0.25">
      <c r="A390">
        <v>389</v>
      </c>
      <c r="B390" t="s">
        <v>1001</v>
      </c>
      <c r="C390" s="16">
        <v>7.2030000000000003</v>
      </c>
      <c r="D390" s="12">
        <v>1</v>
      </c>
      <c r="E390" s="16">
        <v>4.7</v>
      </c>
      <c r="F390" s="16">
        <v>7.2</v>
      </c>
      <c r="G390" s="16">
        <v>7.2030000000000003</v>
      </c>
      <c r="H390" s="16">
        <v>7.2030000000000003</v>
      </c>
      <c r="I390" s="12">
        <v>1</v>
      </c>
      <c r="J390" s="16">
        <v>3.7</v>
      </c>
      <c r="K390" s="16">
        <v>7.2</v>
      </c>
      <c r="L390" s="33">
        <f t="shared" si="6"/>
        <v>1</v>
      </c>
    </row>
    <row r="391" spans="1:12" x14ac:dyDescent="0.25">
      <c r="A391">
        <v>390</v>
      </c>
      <c r="B391" t="s">
        <v>278</v>
      </c>
      <c r="C391" s="16">
        <v>13.152999999999999</v>
      </c>
      <c r="D391" s="12">
        <v>2</v>
      </c>
      <c r="E391" s="16">
        <v>5.3</v>
      </c>
      <c r="F391" s="16">
        <v>6.5</v>
      </c>
      <c r="G391" s="16">
        <v>12.902999999999999</v>
      </c>
      <c r="H391" s="16">
        <v>7.202</v>
      </c>
      <c r="I391" s="12">
        <v>1</v>
      </c>
      <c r="J391" s="16">
        <v>3.7</v>
      </c>
      <c r="K391" s="16">
        <v>7.2</v>
      </c>
      <c r="L391" s="33">
        <f t="shared" si="6"/>
        <v>0.5</v>
      </c>
    </row>
    <row r="392" spans="1:12" x14ac:dyDescent="0.25">
      <c r="A392">
        <v>391</v>
      </c>
      <c r="B392" t="s">
        <v>427</v>
      </c>
      <c r="C392" s="16">
        <v>7.2009999999999996</v>
      </c>
      <c r="D392" s="12">
        <v>1</v>
      </c>
      <c r="E392" s="16">
        <v>4.7</v>
      </c>
      <c r="F392" s="16">
        <v>7.2</v>
      </c>
      <c r="G392" s="16">
        <v>7.2009999999999996</v>
      </c>
      <c r="H392" s="16">
        <v>7.2009999999999996</v>
      </c>
      <c r="I392" s="12">
        <v>1</v>
      </c>
      <c r="J392" s="16">
        <v>3.7</v>
      </c>
      <c r="K392" s="16">
        <v>7.2</v>
      </c>
      <c r="L392" s="33">
        <f t="shared" si="6"/>
        <v>1</v>
      </c>
    </row>
    <row r="393" spans="1:12" x14ac:dyDescent="0.25">
      <c r="A393">
        <v>392</v>
      </c>
      <c r="B393" t="s">
        <v>1035</v>
      </c>
      <c r="C393" s="16">
        <v>7.2309999999999999</v>
      </c>
      <c r="D393" s="12">
        <v>1</v>
      </c>
      <c r="E393" s="16">
        <v>4.7</v>
      </c>
      <c r="F393" s="16">
        <v>7.1</v>
      </c>
      <c r="G393" s="16">
        <v>7.1059999999999999</v>
      </c>
      <c r="H393" s="16">
        <v>7.1059999999999999</v>
      </c>
      <c r="I393" s="12">
        <v>1</v>
      </c>
      <c r="J393" s="16">
        <v>3.7</v>
      </c>
      <c r="K393" s="16">
        <v>7.1</v>
      </c>
      <c r="L393" s="33">
        <f t="shared" si="6"/>
        <v>1</v>
      </c>
    </row>
    <row r="394" spans="1:12" x14ac:dyDescent="0.25">
      <c r="A394">
        <v>393</v>
      </c>
      <c r="B394" t="s">
        <v>258</v>
      </c>
      <c r="C394" s="16">
        <v>7.2290000000000001</v>
      </c>
      <c r="D394" s="12">
        <v>1</v>
      </c>
      <c r="E394" s="16">
        <v>4.7</v>
      </c>
      <c r="F394" s="16">
        <v>7.1</v>
      </c>
      <c r="G394" s="16">
        <v>7.1040000000000001</v>
      </c>
      <c r="H394" s="16">
        <v>7.1040000000000001</v>
      </c>
      <c r="I394" s="12">
        <v>1</v>
      </c>
      <c r="J394" s="16">
        <v>3.7</v>
      </c>
      <c r="K394" s="16">
        <v>7.1</v>
      </c>
      <c r="L394" s="33">
        <f t="shared" si="6"/>
        <v>1</v>
      </c>
    </row>
    <row r="395" spans="1:12" x14ac:dyDescent="0.25">
      <c r="A395">
        <v>394</v>
      </c>
      <c r="B395" t="s">
        <v>1073</v>
      </c>
      <c r="C395" s="16">
        <v>7.226</v>
      </c>
      <c r="D395" s="12">
        <v>1</v>
      </c>
      <c r="E395" s="16">
        <v>4.7</v>
      </c>
      <c r="F395" s="16">
        <v>7.1</v>
      </c>
      <c r="G395" s="16">
        <v>7.101</v>
      </c>
      <c r="H395" s="16">
        <v>7.101</v>
      </c>
      <c r="I395" s="12">
        <v>1</v>
      </c>
      <c r="J395" s="16">
        <v>3.7</v>
      </c>
      <c r="K395" s="16">
        <v>7.1</v>
      </c>
      <c r="L395" s="33">
        <f t="shared" si="6"/>
        <v>1</v>
      </c>
    </row>
    <row r="396" spans="1:12" x14ac:dyDescent="0.25">
      <c r="A396">
        <v>395</v>
      </c>
      <c r="B396" s="10" t="s">
        <v>1192</v>
      </c>
      <c r="C396" s="16">
        <v>7.1059999999999999</v>
      </c>
      <c r="D396" s="12">
        <v>1</v>
      </c>
      <c r="E396" s="16">
        <v>4.5999999999999996</v>
      </c>
      <c r="F396" s="16">
        <v>7.1</v>
      </c>
      <c r="G396" s="16">
        <v>7.1059999999999999</v>
      </c>
      <c r="H396" s="16">
        <v>7.1059999999999999</v>
      </c>
      <c r="I396" s="12">
        <v>1</v>
      </c>
      <c r="J396" s="16">
        <v>3.6</v>
      </c>
      <c r="K396" s="16">
        <v>7.1</v>
      </c>
      <c r="L396" s="33">
        <f t="shared" si="6"/>
        <v>1</v>
      </c>
    </row>
    <row r="397" spans="1:12" x14ac:dyDescent="0.25">
      <c r="A397">
        <v>396</v>
      </c>
      <c r="B397" t="s">
        <v>259</v>
      </c>
      <c r="C397" s="16">
        <v>7.1040000000000001</v>
      </c>
      <c r="D397" s="12">
        <v>1</v>
      </c>
      <c r="E397" s="16">
        <v>4.5999999999999996</v>
      </c>
      <c r="F397" s="16">
        <v>7.1</v>
      </c>
      <c r="G397" s="16">
        <v>7.1040000000000001</v>
      </c>
      <c r="H397" s="16">
        <v>7.1040000000000001</v>
      </c>
      <c r="I397" s="12">
        <v>1</v>
      </c>
      <c r="J397" s="16">
        <v>3.6</v>
      </c>
      <c r="K397" s="16">
        <v>7.1</v>
      </c>
      <c r="L397" s="33">
        <f t="shared" si="6"/>
        <v>1</v>
      </c>
    </row>
    <row r="398" spans="1:12" x14ac:dyDescent="0.25">
      <c r="A398">
        <v>397</v>
      </c>
      <c r="B398" t="s">
        <v>1057</v>
      </c>
      <c r="C398" s="16">
        <v>7.1029999999999998</v>
      </c>
      <c r="D398" s="12">
        <v>1</v>
      </c>
      <c r="E398" s="16">
        <v>4.5999999999999996</v>
      </c>
      <c r="F398" s="16">
        <v>7.1</v>
      </c>
      <c r="G398" s="16">
        <v>7.1029999999999998</v>
      </c>
      <c r="H398" s="16">
        <v>7.1029999999999998</v>
      </c>
      <c r="I398" s="12">
        <v>1</v>
      </c>
      <c r="J398" s="16">
        <v>3.6</v>
      </c>
      <c r="K398" s="16">
        <v>7.1</v>
      </c>
      <c r="L398" s="33">
        <f t="shared" si="6"/>
        <v>1</v>
      </c>
    </row>
    <row r="399" spans="1:12" x14ac:dyDescent="0.25">
      <c r="A399">
        <v>398</v>
      </c>
      <c r="B399" t="s">
        <v>172</v>
      </c>
      <c r="C399" s="16">
        <v>7.7560000000000002</v>
      </c>
      <c r="D399" s="12">
        <v>1</v>
      </c>
      <c r="E399" s="16">
        <v>5.3</v>
      </c>
      <c r="F399" s="16">
        <v>7</v>
      </c>
      <c r="G399" s="16">
        <v>7.0060000000000002</v>
      </c>
      <c r="H399" s="16">
        <v>0</v>
      </c>
      <c r="I399" s="12">
        <v>0</v>
      </c>
      <c r="L399" s="33">
        <f t="shared" si="6"/>
        <v>0</v>
      </c>
    </row>
    <row r="400" spans="1:12" x14ac:dyDescent="0.25">
      <c r="A400">
        <v>399</v>
      </c>
      <c r="B400" t="s">
        <v>174</v>
      </c>
      <c r="C400" s="16">
        <v>7.2560000000000002</v>
      </c>
      <c r="D400" s="12">
        <v>1</v>
      </c>
      <c r="E400" s="16">
        <v>4.8</v>
      </c>
      <c r="F400" s="16">
        <v>7</v>
      </c>
      <c r="G400" s="16">
        <v>7.0060000000000002</v>
      </c>
      <c r="H400" s="16">
        <v>0</v>
      </c>
      <c r="I400" s="12">
        <v>0</v>
      </c>
      <c r="L400" s="33">
        <f t="shared" si="6"/>
        <v>0</v>
      </c>
    </row>
    <row r="401" spans="1:12" x14ac:dyDescent="0.25">
      <c r="A401">
        <v>400</v>
      </c>
      <c r="B401" t="s">
        <v>264</v>
      </c>
      <c r="C401" s="16">
        <v>7.1310000000000002</v>
      </c>
      <c r="D401" s="12">
        <v>1</v>
      </c>
      <c r="E401" s="16">
        <v>4.5999999999999996</v>
      </c>
      <c r="F401" s="16">
        <v>7</v>
      </c>
      <c r="G401" s="16">
        <v>7.0060000000000002</v>
      </c>
      <c r="H401" s="16">
        <v>0</v>
      </c>
      <c r="I401" s="12">
        <v>0</v>
      </c>
      <c r="L401" s="33">
        <f t="shared" si="6"/>
        <v>0</v>
      </c>
    </row>
    <row r="402" spans="1:12" x14ac:dyDescent="0.25">
      <c r="A402">
        <v>401</v>
      </c>
      <c r="B402" t="s">
        <v>265</v>
      </c>
      <c r="C402" s="16">
        <v>7.0060000000000002</v>
      </c>
      <c r="D402" s="12">
        <v>1</v>
      </c>
      <c r="E402" s="16">
        <v>4.5</v>
      </c>
      <c r="F402" s="16">
        <v>7</v>
      </c>
      <c r="G402" s="16">
        <v>7.0060000000000002</v>
      </c>
      <c r="H402" s="16">
        <v>0</v>
      </c>
      <c r="I402" s="12">
        <v>0</v>
      </c>
      <c r="L402" s="33">
        <f t="shared" si="6"/>
        <v>0</v>
      </c>
    </row>
    <row r="403" spans="1:12" x14ac:dyDescent="0.25">
      <c r="A403">
        <v>402</v>
      </c>
      <c r="B403" t="s">
        <v>844</v>
      </c>
      <c r="C403" s="16">
        <v>12.782</v>
      </c>
      <c r="D403" s="12">
        <v>2</v>
      </c>
      <c r="E403" s="16">
        <v>5.0999999999999996</v>
      </c>
      <c r="F403" s="16">
        <v>6</v>
      </c>
      <c r="G403" s="16">
        <v>11.907</v>
      </c>
      <c r="H403" s="16">
        <v>0</v>
      </c>
      <c r="I403" s="12">
        <v>0</v>
      </c>
      <c r="L403" s="33">
        <f t="shared" si="6"/>
        <v>0</v>
      </c>
    </row>
    <row r="404" spans="1:12" x14ac:dyDescent="0.25">
      <c r="A404">
        <v>403</v>
      </c>
      <c r="B404" t="s">
        <v>503</v>
      </c>
      <c r="C404" s="16">
        <v>12.105</v>
      </c>
      <c r="D404" s="12">
        <v>2</v>
      </c>
      <c r="E404" s="16">
        <v>4.8</v>
      </c>
      <c r="F404" s="16">
        <v>5.8</v>
      </c>
      <c r="G404" s="16">
        <v>11.605</v>
      </c>
      <c r="H404" s="16">
        <v>0</v>
      </c>
      <c r="I404" s="12">
        <v>0</v>
      </c>
      <c r="L404" s="33">
        <f t="shared" si="6"/>
        <v>0</v>
      </c>
    </row>
    <row r="405" spans="1:12" x14ac:dyDescent="0.25">
      <c r="A405">
        <v>404</v>
      </c>
      <c r="B405" t="s">
        <v>1081</v>
      </c>
      <c r="C405" s="16">
        <v>14.183</v>
      </c>
      <c r="D405" s="12">
        <v>2</v>
      </c>
      <c r="E405" s="16">
        <v>5.8</v>
      </c>
      <c r="F405" s="16">
        <v>6.7</v>
      </c>
      <c r="G405" s="16">
        <v>13.308</v>
      </c>
      <c r="H405" s="16">
        <v>0</v>
      </c>
      <c r="I405" s="12">
        <v>0</v>
      </c>
      <c r="L405" s="33">
        <f t="shared" si="6"/>
        <v>0</v>
      </c>
    </row>
    <row r="406" spans="1:12" x14ac:dyDescent="0.25">
      <c r="A406">
        <v>405</v>
      </c>
      <c r="B406" t="s">
        <v>1286</v>
      </c>
      <c r="C406" s="16">
        <v>7.0049999999999999</v>
      </c>
      <c r="D406" s="12">
        <v>1</v>
      </c>
      <c r="E406" s="16">
        <v>4.5</v>
      </c>
      <c r="F406" s="16">
        <v>7</v>
      </c>
      <c r="G406" s="16">
        <v>7.0049999999999999</v>
      </c>
      <c r="H406" s="16">
        <v>0</v>
      </c>
      <c r="I406" s="12">
        <v>0</v>
      </c>
      <c r="L406" s="33">
        <f t="shared" si="6"/>
        <v>0</v>
      </c>
    </row>
    <row r="407" spans="1:12" x14ac:dyDescent="0.25">
      <c r="A407">
        <v>406</v>
      </c>
      <c r="B407" t="s">
        <v>809</v>
      </c>
      <c r="C407" s="16">
        <v>7.2539999999999996</v>
      </c>
      <c r="D407" s="12">
        <v>1</v>
      </c>
      <c r="E407" s="16">
        <v>4.8</v>
      </c>
      <c r="F407" s="16">
        <v>7</v>
      </c>
      <c r="G407" s="16">
        <v>7.0039999999999996</v>
      </c>
      <c r="H407" s="16">
        <v>0</v>
      </c>
      <c r="I407" s="12">
        <v>0</v>
      </c>
      <c r="L407" s="33">
        <f t="shared" si="6"/>
        <v>0</v>
      </c>
    </row>
    <row r="408" spans="1:12" x14ac:dyDescent="0.25">
      <c r="A408">
        <v>407</v>
      </c>
      <c r="B408" t="s">
        <v>810</v>
      </c>
      <c r="C408" s="16">
        <v>7.1289999999999996</v>
      </c>
      <c r="D408" s="12">
        <v>1</v>
      </c>
      <c r="E408" s="16">
        <v>4.5999999999999996</v>
      </c>
      <c r="F408" s="16">
        <v>7</v>
      </c>
      <c r="G408" s="16">
        <v>7.0039999999999996</v>
      </c>
      <c r="H408" s="16">
        <v>0</v>
      </c>
      <c r="I408" s="12">
        <v>0</v>
      </c>
      <c r="L408" s="33">
        <f t="shared" si="6"/>
        <v>0</v>
      </c>
    </row>
    <row r="409" spans="1:12" x14ac:dyDescent="0.25">
      <c r="A409">
        <v>408</v>
      </c>
      <c r="B409" t="s">
        <v>855</v>
      </c>
      <c r="C409" s="16">
        <v>7.0039999999999996</v>
      </c>
      <c r="D409" s="12">
        <v>1</v>
      </c>
      <c r="E409" s="16">
        <v>4.5</v>
      </c>
      <c r="F409" s="16">
        <v>7</v>
      </c>
      <c r="G409" s="16">
        <v>7.0039999999999996</v>
      </c>
      <c r="H409" s="16">
        <v>0</v>
      </c>
      <c r="I409" s="12">
        <v>0</v>
      </c>
      <c r="L409" s="33">
        <f t="shared" si="6"/>
        <v>0</v>
      </c>
    </row>
    <row r="410" spans="1:12" x14ac:dyDescent="0.25">
      <c r="A410">
        <v>409</v>
      </c>
      <c r="B410" t="s">
        <v>557</v>
      </c>
      <c r="C410" s="16">
        <v>12.702999999999999</v>
      </c>
      <c r="D410" s="12">
        <v>2</v>
      </c>
      <c r="E410" s="16">
        <v>5.0999999999999996</v>
      </c>
      <c r="F410" s="16">
        <v>5.6</v>
      </c>
      <c r="G410" s="16">
        <v>11.202999999999999</v>
      </c>
      <c r="H410" s="16">
        <v>0</v>
      </c>
      <c r="I410" s="12">
        <v>0</v>
      </c>
      <c r="L410" s="33">
        <f t="shared" si="6"/>
        <v>0</v>
      </c>
    </row>
    <row r="411" spans="1:12" x14ac:dyDescent="0.25">
      <c r="A411">
        <v>410</v>
      </c>
      <c r="B411" t="s">
        <v>904</v>
      </c>
      <c r="C411" s="16">
        <v>7.1280000000000001</v>
      </c>
      <c r="D411" s="12">
        <v>1</v>
      </c>
      <c r="E411" s="16">
        <v>4.5999999999999996</v>
      </c>
      <c r="F411" s="16">
        <v>7</v>
      </c>
      <c r="G411" s="16">
        <v>7.0030000000000001</v>
      </c>
      <c r="H411" s="16">
        <v>0</v>
      </c>
      <c r="I411" s="12">
        <v>0</v>
      </c>
      <c r="L411" s="33">
        <f t="shared" si="6"/>
        <v>0</v>
      </c>
    </row>
    <row r="412" spans="1:12" x14ac:dyDescent="0.25">
      <c r="A412">
        <v>411</v>
      </c>
      <c r="B412" t="s">
        <v>905</v>
      </c>
      <c r="C412" s="16">
        <v>7.0030000000000001</v>
      </c>
      <c r="D412" s="12">
        <v>1</v>
      </c>
      <c r="E412" s="16">
        <v>4.5</v>
      </c>
      <c r="F412" s="16">
        <v>7</v>
      </c>
      <c r="G412" s="16">
        <v>7.0030000000000001</v>
      </c>
      <c r="H412" s="16">
        <v>0</v>
      </c>
      <c r="I412" s="12">
        <v>0</v>
      </c>
      <c r="L412" s="33">
        <f t="shared" si="6"/>
        <v>0</v>
      </c>
    </row>
    <row r="413" spans="1:12" x14ac:dyDescent="0.25">
      <c r="A413">
        <v>412</v>
      </c>
      <c r="B413" t="s">
        <v>1159</v>
      </c>
      <c r="C413" s="16">
        <v>7.0019999999999998</v>
      </c>
      <c r="D413" s="12">
        <v>1</v>
      </c>
      <c r="E413" s="16">
        <v>4.5</v>
      </c>
      <c r="F413" s="16">
        <v>7</v>
      </c>
      <c r="G413" s="16">
        <v>7.0019999999999998</v>
      </c>
      <c r="H413" s="16">
        <v>0</v>
      </c>
      <c r="I413" s="12">
        <v>0</v>
      </c>
      <c r="L413" s="33">
        <f t="shared" si="6"/>
        <v>0</v>
      </c>
    </row>
    <row r="414" spans="1:12" x14ac:dyDescent="0.25">
      <c r="A414">
        <v>413</v>
      </c>
      <c r="B414" t="s">
        <v>182</v>
      </c>
      <c r="C414" s="16">
        <v>7.1559999999999997</v>
      </c>
      <c r="D414" s="12">
        <v>1</v>
      </c>
      <c r="E414" s="16">
        <v>4.7</v>
      </c>
      <c r="F414" s="16">
        <v>6.9</v>
      </c>
      <c r="G414" s="16">
        <v>6.9059999999999997</v>
      </c>
      <c r="H414" s="16">
        <v>0</v>
      </c>
      <c r="I414" s="12">
        <v>0</v>
      </c>
      <c r="L414" s="33">
        <f t="shared" si="6"/>
        <v>0</v>
      </c>
    </row>
    <row r="415" spans="1:12" x14ac:dyDescent="0.25">
      <c r="A415">
        <v>414</v>
      </c>
      <c r="B415" t="s">
        <v>282</v>
      </c>
      <c r="C415" s="16">
        <v>13.463000000000001</v>
      </c>
      <c r="D415" s="12">
        <v>2</v>
      </c>
      <c r="E415" s="16">
        <v>5.5</v>
      </c>
      <c r="F415" s="16">
        <v>6.6</v>
      </c>
      <c r="G415" s="16">
        <v>13.213000000000001</v>
      </c>
      <c r="H415" s="16">
        <v>0</v>
      </c>
      <c r="I415" s="12">
        <v>0</v>
      </c>
      <c r="L415" s="33">
        <f t="shared" si="6"/>
        <v>0</v>
      </c>
    </row>
    <row r="416" spans="1:12" x14ac:dyDescent="0.25">
      <c r="A416">
        <v>415</v>
      </c>
      <c r="B416" t="s">
        <v>833</v>
      </c>
      <c r="C416" s="16">
        <v>7.6539999999999999</v>
      </c>
      <c r="D416" s="12">
        <v>1</v>
      </c>
      <c r="E416" s="16">
        <v>5.2</v>
      </c>
      <c r="F416" s="16">
        <v>6.9</v>
      </c>
      <c r="G416" s="16">
        <v>6.9039999999999999</v>
      </c>
      <c r="H416" s="16">
        <v>0</v>
      </c>
      <c r="I416" s="12">
        <v>0</v>
      </c>
      <c r="L416" s="33">
        <f t="shared" si="6"/>
        <v>0</v>
      </c>
    </row>
    <row r="417" spans="1:12" x14ac:dyDescent="0.25">
      <c r="A417">
        <v>416</v>
      </c>
      <c r="B417" t="s">
        <v>834</v>
      </c>
      <c r="C417" s="16">
        <v>7.1539999999999999</v>
      </c>
      <c r="D417" s="12">
        <v>1</v>
      </c>
      <c r="E417" s="16">
        <v>4.7</v>
      </c>
      <c r="F417" s="16">
        <v>6.9</v>
      </c>
      <c r="G417" s="16">
        <v>6.9039999999999999</v>
      </c>
      <c r="H417" s="16">
        <v>0</v>
      </c>
      <c r="I417" s="12">
        <v>0</v>
      </c>
      <c r="L417" s="33">
        <f t="shared" si="6"/>
        <v>0</v>
      </c>
    </row>
    <row r="418" spans="1:12" x14ac:dyDescent="0.25">
      <c r="A418">
        <v>417</v>
      </c>
      <c r="B418" t="s">
        <v>835</v>
      </c>
      <c r="C418" s="16">
        <v>7.0289999999999999</v>
      </c>
      <c r="D418" s="12">
        <v>1</v>
      </c>
      <c r="E418" s="16">
        <v>4.5</v>
      </c>
      <c r="F418" s="16">
        <v>6.9</v>
      </c>
      <c r="G418" s="16">
        <v>6.9039999999999999</v>
      </c>
      <c r="H418" s="16">
        <v>0</v>
      </c>
      <c r="I418" s="12">
        <v>0</v>
      </c>
      <c r="L418" s="33">
        <f t="shared" si="6"/>
        <v>0</v>
      </c>
    </row>
    <row r="419" spans="1:12" x14ac:dyDescent="0.25">
      <c r="A419">
        <v>418</v>
      </c>
      <c r="B419" t="s">
        <v>836</v>
      </c>
      <c r="C419" s="16">
        <v>6.9039999999999999</v>
      </c>
      <c r="D419" s="12">
        <v>1</v>
      </c>
      <c r="E419" s="16">
        <v>4.4000000000000004</v>
      </c>
      <c r="F419" s="16">
        <v>6.9</v>
      </c>
      <c r="G419" s="16">
        <v>6.9039999999999999</v>
      </c>
      <c r="H419" s="16">
        <v>0</v>
      </c>
      <c r="I419" s="12">
        <v>0</v>
      </c>
      <c r="L419" s="33">
        <f t="shared" si="6"/>
        <v>0</v>
      </c>
    </row>
    <row r="420" spans="1:12" x14ac:dyDescent="0.25">
      <c r="A420">
        <v>419</v>
      </c>
      <c r="B420" t="s">
        <v>841</v>
      </c>
      <c r="C420" s="16">
        <v>6.9029999999999996</v>
      </c>
      <c r="D420" s="12">
        <v>1</v>
      </c>
      <c r="E420" s="16">
        <v>4.4000000000000004</v>
      </c>
      <c r="F420" s="16">
        <v>6.9</v>
      </c>
      <c r="G420" s="16">
        <v>6.9029999999999996</v>
      </c>
      <c r="H420" s="16">
        <v>0</v>
      </c>
      <c r="I420" s="12">
        <v>0</v>
      </c>
      <c r="L420" s="33">
        <f t="shared" si="6"/>
        <v>0</v>
      </c>
    </row>
    <row r="421" spans="1:12" x14ac:dyDescent="0.25">
      <c r="A421">
        <v>420</v>
      </c>
      <c r="B421" t="s">
        <v>1124</v>
      </c>
      <c r="C421" s="16">
        <v>7.0270000000000001</v>
      </c>
      <c r="D421" s="12">
        <v>1</v>
      </c>
      <c r="E421" s="16">
        <v>4.5</v>
      </c>
      <c r="F421" s="16">
        <v>6.9</v>
      </c>
      <c r="G421" s="16">
        <v>6.9020000000000001</v>
      </c>
      <c r="H421" s="16">
        <v>0</v>
      </c>
      <c r="I421" s="12">
        <v>0</v>
      </c>
      <c r="L421" s="33">
        <f t="shared" si="6"/>
        <v>0</v>
      </c>
    </row>
    <row r="422" spans="1:12" x14ac:dyDescent="0.25">
      <c r="A422">
        <v>421</v>
      </c>
      <c r="B422" t="s">
        <v>1107</v>
      </c>
      <c r="C422" s="16">
        <v>7.6509999999999998</v>
      </c>
      <c r="D422" s="12">
        <v>1</v>
      </c>
      <c r="E422" s="16">
        <v>5.2</v>
      </c>
      <c r="F422" s="16">
        <v>6.9</v>
      </c>
      <c r="G422" s="16">
        <v>6.9009999999999998</v>
      </c>
      <c r="H422" s="16">
        <v>0</v>
      </c>
      <c r="I422" s="12">
        <v>0</v>
      </c>
      <c r="L422" s="33">
        <f t="shared" si="6"/>
        <v>0</v>
      </c>
    </row>
    <row r="423" spans="1:12" x14ac:dyDescent="0.25">
      <c r="A423">
        <v>422</v>
      </c>
      <c r="B423" t="s">
        <v>1108</v>
      </c>
      <c r="C423" s="16">
        <v>7.0259999999999998</v>
      </c>
      <c r="D423" s="12">
        <v>1</v>
      </c>
      <c r="E423" s="16">
        <v>4.5</v>
      </c>
      <c r="F423" s="16">
        <v>6.9</v>
      </c>
      <c r="G423" s="16">
        <v>6.9009999999999998</v>
      </c>
      <c r="H423" s="16">
        <v>0</v>
      </c>
      <c r="I423" s="12">
        <v>0</v>
      </c>
      <c r="L423" s="33">
        <f t="shared" si="6"/>
        <v>0</v>
      </c>
    </row>
    <row r="424" spans="1:12" x14ac:dyDescent="0.25">
      <c r="A424">
        <v>423</v>
      </c>
      <c r="B424" t="s">
        <v>1109</v>
      </c>
      <c r="C424" s="16">
        <v>6.9009999999999998</v>
      </c>
      <c r="D424" s="12">
        <v>1</v>
      </c>
      <c r="E424" s="16">
        <v>4.4000000000000004</v>
      </c>
      <c r="F424" s="16">
        <v>6.9</v>
      </c>
      <c r="G424" s="16">
        <v>6.9009999999999998</v>
      </c>
      <c r="H424" s="16">
        <v>0</v>
      </c>
      <c r="I424" s="12">
        <v>0</v>
      </c>
      <c r="L424" s="33">
        <f t="shared" si="6"/>
        <v>0</v>
      </c>
    </row>
    <row r="425" spans="1:12" x14ac:dyDescent="0.25">
      <c r="A425">
        <v>424</v>
      </c>
      <c r="B425" t="s">
        <v>273</v>
      </c>
      <c r="C425" s="16">
        <v>7.056</v>
      </c>
      <c r="D425" s="12">
        <v>1</v>
      </c>
      <c r="E425" s="16">
        <v>4.5999999999999996</v>
      </c>
      <c r="F425" s="16">
        <v>6.8</v>
      </c>
      <c r="G425" s="16">
        <v>6.806</v>
      </c>
      <c r="H425" s="16">
        <v>0</v>
      </c>
      <c r="I425" s="12">
        <v>0</v>
      </c>
      <c r="L425" s="33">
        <f t="shared" si="6"/>
        <v>0</v>
      </c>
    </row>
    <row r="426" spans="1:12" x14ac:dyDescent="0.25">
      <c r="A426">
        <v>425</v>
      </c>
      <c r="B426" t="s">
        <v>83</v>
      </c>
      <c r="C426" s="16">
        <v>6.931</v>
      </c>
      <c r="D426" s="12">
        <v>1</v>
      </c>
      <c r="E426" s="16">
        <v>4.4000000000000004</v>
      </c>
      <c r="F426" s="16">
        <v>6.8</v>
      </c>
      <c r="G426" s="16">
        <v>6.806</v>
      </c>
      <c r="H426" s="16">
        <v>0</v>
      </c>
      <c r="I426" s="12">
        <v>0</v>
      </c>
      <c r="L426" s="33">
        <f t="shared" si="6"/>
        <v>0</v>
      </c>
    </row>
    <row r="427" spans="1:12" x14ac:dyDescent="0.25">
      <c r="A427">
        <v>426</v>
      </c>
      <c r="B427" t="s">
        <v>1119</v>
      </c>
      <c r="C427" s="16">
        <v>7.5549999999999997</v>
      </c>
      <c r="D427" s="12">
        <v>1</v>
      </c>
      <c r="E427" s="16">
        <v>5.0999999999999996</v>
      </c>
      <c r="F427" s="16">
        <v>6.8</v>
      </c>
      <c r="G427" s="16">
        <v>6.8049999999999997</v>
      </c>
      <c r="H427" s="16">
        <v>0</v>
      </c>
      <c r="I427" s="12">
        <v>0</v>
      </c>
      <c r="L427" s="33">
        <f t="shared" si="6"/>
        <v>0</v>
      </c>
    </row>
    <row r="428" spans="1:12" x14ac:dyDescent="0.25">
      <c r="A428">
        <v>427</v>
      </c>
      <c r="B428" t="s">
        <v>1121</v>
      </c>
      <c r="C428" s="16">
        <v>7.0549999999999997</v>
      </c>
      <c r="D428" s="12">
        <v>1</v>
      </c>
      <c r="E428" s="16">
        <v>4.5999999999999996</v>
      </c>
      <c r="F428" s="16">
        <v>6.8</v>
      </c>
      <c r="G428" s="16">
        <v>6.8049999999999997</v>
      </c>
      <c r="H428" s="16">
        <v>0</v>
      </c>
      <c r="I428" s="12">
        <v>0</v>
      </c>
      <c r="L428" s="33">
        <f t="shared" si="6"/>
        <v>0</v>
      </c>
    </row>
    <row r="429" spans="1:12" x14ac:dyDescent="0.25">
      <c r="A429">
        <v>428</v>
      </c>
      <c r="B429" t="s">
        <v>1120</v>
      </c>
      <c r="C429" s="16">
        <v>6.8049999999999997</v>
      </c>
      <c r="D429" s="12">
        <v>1</v>
      </c>
      <c r="E429" s="16">
        <v>4.3</v>
      </c>
      <c r="F429" s="16">
        <v>6.8</v>
      </c>
      <c r="G429" s="16">
        <v>6.8049999999999997</v>
      </c>
      <c r="H429" s="16">
        <v>0</v>
      </c>
      <c r="I429" s="12">
        <v>0</v>
      </c>
      <c r="L429" s="33">
        <f t="shared" si="6"/>
        <v>0</v>
      </c>
    </row>
    <row r="430" spans="1:12" x14ac:dyDescent="0.25">
      <c r="A430">
        <v>429</v>
      </c>
      <c r="B430" t="s">
        <v>1271</v>
      </c>
      <c r="C430" s="16">
        <v>7.5540000000000003</v>
      </c>
      <c r="D430" s="12">
        <v>1</v>
      </c>
      <c r="E430" s="16">
        <v>5.0999999999999996</v>
      </c>
      <c r="F430" s="16">
        <v>6.8</v>
      </c>
      <c r="G430" s="16">
        <v>6.8040000000000003</v>
      </c>
      <c r="H430" s="16">
        <v>0</v>
      </c>
      <c r="I430" s="12">
        <v>0</v>
      </c>
      <c r="L430" s="33">
        <f t="shared" si="6"/>
        <v>0</v>
      </c>
    </row>
    <row r="431" spans="1:12" x14ac:dyDescent="0.25">
      <c r="A431">
        <v>430</v>
      </c>
      <c r="B431" t="s">
        <v>1273</v>
      </c>
      <c r="C431" s="16">
        <v>7.0540000000000003</v>
      </c>
      <c r="D431" s="12">
        <v>1</v>
      </c>
      <c r="E431" s="16">
        <v>4.5999999999999996</v>
      </c>
      <c r="F431" s="16">
        <v>6.8</v>
      </c>
      <c r="G431" s="16">
        <v>6.8040000000000003</v>
      </c>
      <c r="H431" s="16">
        <v>0</v>
      </c>
      <c r="I431" s="12">
        <v>0</v>
      </c>
      <c r="L431" s="33">
        <f t="shared" si="6"/>
        <v>0</v>
      </c>
    </row>
    <row r="432" spans="1:12" x14ac:dyDescent="0.25">
      <c r="A432">
        <v>431</v>
      </c>
      <c r="B432" t="s">
        <v>1272</v>
      </c>
      <c r="C432" s="16">
        <v>6.9290000000000003</v>
      </c>
      <c r="D432" s="12">
        <v>1</v>
      </c>
      <c r="E432" s="16">
        <v>4.4000000000000004</v>
      </c>
      <c r="F432" s="16">
        <v>6.8</v>
      </c>
      <c r="G432" s="16">
        <v>6.8040000000000003</v>
      </c>
      <c r="H432" s="16">
        <v>0</v>
      </c>
      <c r="I432" s="12">
        <v>0</v>
      </c>
      <c r="L432" s="33">
        <f t="shared" si="6"/>
        <v>0</v>
      </c>
    </row>
    <row r="433" spans="1:12" x14ac:dyDescent="0.25">
      <c r="A433">
        <v>432</v>
      </c>
      <c r="B433" t="s">
        <v>1274</v>
      </c>
      <c r="C433" s="16">
        <v>6.8040000000000003</v>
      </c>
      <c r="D433" s="12">
        <v>1</v>
      </c>
      <c r="E433" s="16">
        <v>4.3</v>
      </c>
      <c r="F433" s="16">
        <v>6.8</v>
      </c>
      <c r="G433" s="16">
        <v>6.8040000000000003</v>
      </c>
      <c r="H433" s="16">
        <v>0</v>
      </c>
      <c r="I433" s="12">
        <v>0</v>
      </c>
      <c r="L433" s="33">
        <f t="shared" si="6"/>
        <v>0</v>
      </c>
    </row>
    <row r="434" spans="1:12" x14ac:dyDescent="0.25">
      <c r="A434">
        <v>433</v>
      </c>
      <c r="B434" t="s">
        <v>454</v>
      </c>
      <c r="C434" s="16">
        <v>6.9279999999999999</v>
      </c>
      <c r="D434" s="12">
        <v>1</v>
      </c>
      <c r="E434" s="16">
        <v>4.4000000000000004</v>
      </c>
      <c r="F434" s="16">
        <v>6.8</v>
      </c>
      <c r="G434" s="16">
        <v>6.8029999999999999</v>
      </c>
      <c r="H434" s="16">
        <v>0</v>
      </c>
      <c r="I434" s="12">
        <v>0</v>
      </c>
      <c r="L434" s="33">
        <f t="shared" si="6"/>
        <v>0</v>
      </c>
    </row>
    <row r="435" spans="1:12" x14ac:dyDescent="0.25">
      <c r="A435">
        <v>434</v>
      </c>
      <c r="B435" t="s">
        <v>1193</v>
      </c>
      <c r="C435" s="16">
        <v>7.5519999999999996</v>
      </c>
      <c r="D435" s="12">
        <v>1</v>
      </c>
      <c r="E435" s="16">
        <v>5.0999999999999996</v>
      </c>
      <c r="F435" s="16">
        <v>6.8</v>
      </c>
      <c r="G435" s="16">
        <v>6.8019999999999996</v>
      </c>
      <c r="H435" s="16">
        <v>0</v>
      </c>
      <c r="I435" s="12">
        <v>0</v>
      </c>
      <c r="L435" s="33">
        <f t="shared" si="6"/>
        <v>0</v>
      </c>
    </row>
    <row r="436" spans="1:12" x14ac:dyDescent="0.25">
      <c r="A436">
        <v>435</v>
      </c>
      <c r="B436" t="s">
        <v>775</v>
      </c>
      <c r="C436" s="16">
        <v>7.0519999999999996</v>
      </c>
      <c r="D436" s="12">
        <v>1</v>
      </c>
      <c r="E436" s="16">
        <v>4.5999999999999996</v>
      </c>
      <c r="F436" s="16">
        <v>6.8</v>
      </c>
      <c r="G436" s="16">
        <v>6.8019999999999996</v>
      </c>
      <c r="H436" s="16">
        <v>0</v>
      </c>
      <c r="I436" s="12">
        <v>0</v>
      </c>
      <c r="L436" s="33">
        <f t="shared" si="6"/>
        <v>0</v>
      </c>
    </row>
    <row r="437" spans="1:12" x14ac:dyDescent="0.25">
      <c r="A437">
        <v>436</v>
      </c>
      <c r="B437" t="s">
        <v>928</v>
      </c>
      <c r="C437" s="16">
        <v>6.9269999999999996</v>
      </c>
      <c r="D437" s="12">
        <v>1</v>
      </c>
      <c r="E437" s="16">
        <v>4.4000000000000004</v>
      </c>
      <c r="F437" s="16">
        <v>6.8</v>
      </c>
      <c r="G437" s="16">
        <v>6.8019999999999996</v>
      </c>
      <c r="H437" s="16">
        <v>0</v>
      </c>
      <c r="I437" s="12">
        <v>0</v>
      </c>
      <c r="L437" s="33">
        <f t="shared" si="6"/>
        <v>0</v>
      </c>
    </row>
    <row r="438" spans="1:12" x14ac:dyDescent="0.25">
      <c r="A438">
        <v>437</v>
      </c>
      <c r="B438" t="s">
        <v>774</v>
      </c>
      <c r="C438" s="16">
        <v>6.8019999999999996</v>
      </c>
      <c r="D438" s="12">
        <v>1</v>
      </c>
      <c r="E438" s="16">
        <v>4.3</v>
      </c>
      <c r="F438" s="16">
        <v>6.8</v>
      </c>
      <c r="G438" s="16">
        <v>6.8019999999999996</v>
      </c>
      <c r="H438" s="16">
        <v>0</v>
      </c>
      <c r="I438" s="12">
        <v>0</v>
      </c>
      <c r="L438" s="33">
        <f t="shared" si="6"/>
        <v>0</v>
      </c>
    </row>
    <row r="439" spans="1:12" x14ac:dyDescent="0.25">
      <c r="A439">
        <v>438</v>
      </c>
      <c r="B439" t="s">
        <v>167</v>
      </c>
      <c r="C439" s="16">
        <v>6.8319999999999999</v>
      </c>
      <c r="D439" s="12">
        <v>1</v>
      </c>
      <c r="E439" s="16">
        <v>4.3</v>
      </c>
      <c r="F439" s="16">
        <v>6.7</v>
      </c>
      <c r="G439" s="16">
        <v>6.7069999999999999</v>
      </c>
      <c r="H439" s="16">
        <v>0</v>
      </c>
      <c r="I439" s="12">
        <v>0</v>
      </c>
      <c r="L439" s="33">
        <f t="shared" si="6"/>
        <v>0</v>
      </c>
    </row>
    <row r="440" spans="1:12" x14ac:dyDescent="0.25">
      <c r="A440">
        <v>439</v>
      </c>
      <c r="B440" t="s">
        <v>168</v>
      </c>
      <c r="C440" s="16">
        <v>6.7069999999999999</v>
      </c>
      <c r="D440" s="12">
        <v>1</v>
      </c>
      <c r="E440" s="16">
        <v>4.2</v>
      </c>
      <c r="F440" s="16">
        <v>6.7</v>
      </c>
      <c r="G440" s="16">
        <v>6.7069999999999999</v>
      </c>
      <c r="H440" s="16">
        <v>0</v>
      </c>
      <c r="I440" s="12">
        <v>0</v>
      </c>
      <c r="L440" s="33">
        <f t="shared" si="6"/>
        <v>0</v>
      </c>
    </row>
    <row r="441" spans="1:12" x14ac:dyDescent="0.25">
      <c r="A441">
        <v>440</v>
      </c>
      <c r="B441" t="s">
        <v>1194</v>
      </c>
      <c r="C441" s="16">
        <v>7.4560000000000004</v>
      </c>
      <c r="D441" s="12">
        <v>1</v>
      </c>
      <c r="E441" s="16">
        <v>5</v>
      </c>
      <c r="F441" s="16">
        <v>6.7</v>
      </c>
      <c r="G441" s="16">
        <v>6.7060000000000004</v>
      </c>
      <c r="H441" s="16">
        <v>0</v>
      </c>
      <c r="I441" s="12">
        <v>0</v>
      </c>
      <c r="L441" s="33">
        <f t="shared" si="6"/>
        <v>0</v>
      </c>
    </row>
    <row r="442" spans="1:12" x14ac:dyDescent="0.25">
      <c r="A442">
        <v>441</v>
      </c>
      <c r="B442" t="s">
        <v>296</v>
      </c>
      <c r="C442" s="16">
        <v>6.9560000000000004</v>
      </c>
      <c r="D442" s="12">
        <v>1</v>
      </c>
      <c r="E442" s="16">
        <v>4.5</v>
      </c>
      <c r="F442" s="16">
        <v>6.7</v>
      </c>
      <c r="G442" s="16">
        <v>6.7060000000000004</v>
      </c>
      <c r="H442" s="16">
        <v>0</v>
      </c>
      <c r="I442" s="12">
        <v>0</v>
      </c>
      <c r="L442" s="33">
        <f t="shared" si="6"/>
        <v>0</v>
      </c>
    </row>
    <row r="443" spans="1:12" x14ac:dyDescent="0.25">
      <c r="A443">
        <v>442</v>
      </c>
      <c r="B443" t="s">
        <v>297</v>
      </c>
      <c r="C443" s="16">
        <v>6.8310000000000004</v>
      </c>
      <c r="D443" s="12">
        <v>1</v>
      </c>
      <c r="E443" s="16">
        <v>4.3</v>
      </c>
      <c r="F443" s="16">
        <v>6.7</v>
      </c>
      <c r="G443" s="16">
        <v>6.7060000000000004</v>
      </c>
      <c r="H443" s="16">
        <v>0</v>
      </c>
      <c r="I443" s="12">
        <v>0</v>
      </c>
      <c r="L443" s="33">
        <f t="shared" si="6"/>
        <v>0</v>
      </c>
    </row>
    <row r="444" spans="1:12" x14ac:dyDescent="0.25">
      <c r="A444">
        <v>443</v>
      </c>
      <c r="B444" t="s">
        <v>298</v>
      </c>
      <c r="C444" s="16">
        <v>6.7060000000000004</v>
      </c>
      <c r="D444" s="12">
        <v>1</v>
      </c>
      <c r="E444" s="16">
        <v>4.2</v>
      </c>
      <c r="F444" s="16">
        <v>6.7</v>
      </c>
      <c r="G444" s="16">
        <v>6.7060000000000004</v>
      </c>
      <c r="H444" s="16">
        <v>0</v>
      </c>
      <c r="I444" s="12">
        <v>0</v>
      </c>
      <c r="L444" s="33">
        <f t="shared" si="6"/>
        <v>0</v>
      </c>
    </row>
    <row r="445" spans="1:12" x14ac:dyDescent="0.25">
      <c r="A445">
        <v>444</v>
      </c>
      <c r="B445" t="s">
        <v>860</v>
      </c>
      <c r="C445" s="16">
        <v>6.9550000000000001</v>
      </c>
      <c r="D445" s="12">
        <v>1</v>
      </c>
      <c r="E445" s="16">
        <v>4.5</v>
      </c>
      <c r="F445" s="16">
        <v>6.7</v>
      </c>
      <c r="G445" s="16">
        <v>6.7050000000000001</v>
      </c>
      <c r="H445" s="16">
        <v>0</v>
      </c>
      <c r="I445" s="12">
        <v>0</v>
      </c>
      <c r="L445" s="33">
        <f t="shared" si="6"/>
        <v>0</v>
      </c>
    </row>
    <row r="446" spans="1:12" x14ac:dyDescent="0.25">
      <c r="A446">
        <v>445</v>
      </c>
      <c r="B446" t="s">
        <v>113</v>
      </c>
      <c r="C446" s="16">
        <v>12.606</v>
      </c>
      <c r="D446" s="12">
        <v>2</v>
      </c>
      <c r="E446" s="16">
        <v>5.0999999999999996</v>
      </c>
      <c r="F446" s="16">
        <v>6.1</v>
      </c>
      <c r="G446" s="16">
        <v>12.106</v>
      </c>
      <c r="H446" s="16">
        <v>0</v>
      </c>
      <c r="I446" s="12">
        <v>0</v>
      </c>
      <c r="L446" s="33">
        <f t="shared" si="6"/>
        <v>0</v>
      </c>
    </row>
    <row r="447" spans="1:12" x14ac:dyDescent="0.25">
      <c r="A447">
        <v>446</v>
      </c>
      <c r="B447" t="s">
        <v>1013</v>
      </c>
      <c r="C447" s="16">
        <v>6.8289999999999997</v>
      </c>
      <c r="D447" s="12">
        <v>1</v>
      </c>
      <c r="E447" s="16">
        <v>4.3</v>
      </c>
      <c r="F447" s="16">
        <v>6.7</v>
      </c>
      <c r="G447" s="16">
        <v>6.7039999999999997</v>
      </c>
      <c r="H447" s="16">
        <v>0</v>
      </c>
      <c r="I447" s="12">
        <v>0</v>
      </c>
      <c r="L447" s="33">
        <f t="shared" si="6"/>
        <v>0</v>
      </c>
    </row>
    <row r="448" spans="1:12" x14ac:dyDescent="0.25">
      <c r="A448">
        <v>447</v>
      </c>
      <c r="B448" t="s">
        <v>1014</v>
      </c>
      <c r="C448" s="16">
        <v>6.7039999999999997</v>
      </c>
      <c r="D448" s="12">
        <v>1</v>
      </c>
      <c r="E448" s="16">
        <v>4.2</v>
      </c>
      <c r="F448" s="16">
        <v>6.7</v>
      </c>
      <c r="G448" s="16">
        <v>6.7039999999999997</v>
      </c>
      <c r="H448" s="16">
        <v>0</v>
      </c>
      <c r="I448" s="12">
        <v>0</v>
      </c>
      <c r="L448" s="33">
        <f t="shared" si="6"/>
        <v>0</v>
      </c>
    </row>
    <row r="449" spans="1:12" x14ac:dyDescent="0.25">
      <c r="A449">
        <v>448</v>
      </c>
      <c r="B449" t="s">
        <v>1196</v>
      </c>
      <c r="C449" s="16">
        <v>6.8280000000000003</v>
      </c>
      <c r="D449" s="12">
        <v>1</v>
      </c>
      <c r="E449" s="16">
        <v>4.3</v>
      </c>
      <c r="F449" s="16">
        <v>6.7</v>
      </c>
      <c r="G449" s="16">
        <v>6.7030000000000003</v>
      </c>
      <c r="H449" s="16">
        <v>0</v>
      </c>
      <c r="I449" s="12">
        <v>0</v>
      </c>
      <c r="L449" s="33">
        <f t="shared" si="6"/>
        <v>0</v>
      </c>
    </row>
    <row r="450" spans="1:12" x14ac:dyDescent="0.25">
      <c r="A450">
        <v>449</v>
      </c>
      <c r="B450" t="s">
        <v>170</v>
      </c>
      <c r="C450" s="16">
        <v>6.7030000000000003</v>
      </c>
      <c r="D450" s="12">
        <v>1</v>
      </c>
      <c r="E450" s="16">
        <v>4.2</v>
      </c>
      <c r="F450" s="16">
        <v>6.7</v>
      </c>
      <c r="G450" s="16">
        <v>6.7030000000000003</v>
      </c>
      <c r="H450" s="16">
        <v>0</v>
      </c>
      <c r="I450" s="12">
        <v>0</v>
      </c>
      <c r="L450" s="33">
        <f t="shared" ref="L450:L513" si="7">I450/D450</f>
        <v>0</v>
      </c>
    </row>
    <row r="451" spans="1:12" x14ac:dyDescent="0.25">
      <c r="A451">
        <v>450</v>
      </c>
      <c r="B451" t="s">
        <v>859</v>
      </c>
      <c r="C451" s="16">
        <v>6.702</v>
      </c>
      <c r="D451" s="12">
        <v>1</v>
      </c>
      <c r="E451" s="16">
        <v>4.2</v>
      </c>
      <c r="F451" s="16">
        <v>6.7</v>
      </c>
      <c r="G451" s="16">
        <v>6.702</v>
      </c>
      <c r="H451" s="16">
        <v>0</v>
      </c>
      <c r="I451" s="12">
        <v>0</v>
      </c>
      <c r="L451" s="33">
        <f t="shared" si="7"/>
        <v>0</v>
      </c>
    </row>
    <row r="452" spans="1:12" x14ac:dyDescent="0.25">
      <c r="A452">
        <v>451</v>
      </c>
      <c r="B452" t="s">
        <v>87</v>
      </c>
      <c r="C452" s="16">
        <v>6.9509999999999996</v>
      </c>
      <c r="D452" s="12">
        <v>1</v>
      </c>
      <c r="E452" s="16">
        <v>4.5</v>
      </c>
      <c r="F452" s="16">
        <v>6.7</v>
      </c>
      <c r="G452" s="16">
        <v>6.7009999999999996</v>
      </c>
      <c r="H452" s="16">
        <v>0</v>
      </c>
      <c r="I452" s="12">
        <v>0</v>
      </c>
      <c r="L452" s="33">
        <f t="shared" si="7"/>
        <v>0</v>
      </c>
    </row>
    <row r="453" spans="1:12" x14ac:dyDescent="0.25">
      <c r="A453">
        <v>452</v>
      </c>
      <c r="B453" t="s">
        <v>782</v>
      </c>
      <c r="C453" s="16">
        <v>7.3550000000000004</v>
      </c>
      <c r="D453" s="12">
        <v>1</v>
      </c>
      <c r="E453" s="16">
        <v>4.9000000000000004</v>
      </c>
      <c r="F453" s="16">
        <v>6.6</v>
      </c>
      <c r="G453" s="16">
        <v>6.6050000000000004</v>
      </c>
      <c r="H453" s="16">
        <v>0</v>
      </c>
      <c r="I453" s="12">
        <v>0</v>
      </c>
      <c r="L453" s="33">
        <f t="shared" si="7"/>
        <v>0</v>
      </c>
    </row>
    <row r="454" spans="1:12" x14ac:dyDescent="0.25">
      <c r="A454">
        <v>453</v>
      </c>
      <c r="B454" t="s">
        <v>801</v>
      </c>
      <c r="C454" s="16">
        <v>6.8550000000000004</v>
      </c>
      <c r="D454" s="12">
        <v>1</v>
      </c>
      <c r="E454" s="16">
        <v>4.4000000000000004</v>
      </c>
      <c r="F454" s="16">
        <v>6.6</v>
      </c>
      <c r="G454" s="16">
        <v>6.6050000000000004</v>
      </c>
      <c r="H454" s="16">
        <v>0</v>
      </c>
      <c r="I454" s="12">
        <v>0</v>
      </c>
      <c r="L454" s="33">
        <f t="shared" si="7"/>
        <v>0</v>
      </c>
    </row>
    <row r="455" spans="1:12" x14ac:dyDescent="0.25">
      <c r="A455">
        <v>454</v>
      </c>
      <c r="B455" t="s">
        <v>1301</v>
      </c>
      <c r="C455" s="16">
        <v>6.73</v>
      </c>
      <c r="D455" s="12">
        <v>1</v>
      </c>
      <c r="E455" s="16">
        <v>4.2</v>
      </c>
      <c r="F455" s="16">
        <v>6.6</v>
      </c>
      <c r="G455" s="16">
        <v>6.6050000000000004</v>
      </c>
      <c r="H455" s="16">
        <v>0</v>
      </c>
      <c r="I455" s="12">
        <v>0</v>
      </c>
      <c r="L455" s="33">
        <f t="shared" si="7"/>
        <v>0</v>
      </c>
    </row>
    <row r="456" spans="1:12" x14ac:dyDescent="0.25">
      <c r="A456">
        <v>455</v>
      </c>
      <c r="B456" t="s">
        <v>831</v>
      </c>
      <c r="C456" s="16">
        <v>6.6050000000000004</v>
      </c>
      <c r="D456" s="12">
        <v>1</v>
      </c>
      <c r="E456" s="16">
        <v>4.0999999999999996</v>
      </c>
      <c r="F456" s="16">
        <v>6.6</v>
      </c>
      <c r="G456" s="16">
        <v>6.6050000000000004</v>
      </c>
      <c r="H456" s="16">
        <v>0</v>
      </c>
      <c r="I456" s="12">
        <v>0</v>
      </c>
      <c r="L456" s="33">
        <f t="shared" si="7"/>
        <v>0</v>
      </c>
    </row>
    <row r="457" spans="1:12" x14ac:dyDescent="0.25">
      <c r="A457">
        <v>456</v>
      </c>
      <c r="B457" t="s">
        <v>886</v>
      </c>
      <c r="C457" s="16">
        <v>9.3030000000000008</v>
      </c>
      <c r="D457" s="12">
        <v>2</v>
      </c>
      <c r="E457" s="16">
        <v>3.4</v>
      </c>
      <c r="F457" s="16">
        <v>4.7</v>
      </c>
      <c r="G457" s="16">
        <v>9.3030000000000008</v>
      </c>
      <c r="H457" s="16">
        <v>0</v>
      </c>
      <c r="I457" s="12">
        <v>0</v>
      </c>
      <c r="L457" s="33">
        <f t="shared" si="7"/>
        <v>0</v>
      </c>
    </row>
    <row r="458" spans="1:12" x14ac:dyDescent="0.25">
      <c r="A458">
        <v>457</v>
      </c>
      <c r="B458" t="s">
        <v>1303</v>
      </c>
      <c r="C458" s="16">
        <v>7.351</v>
      </c>
      <c r="D458" s="12">
        <v>1</v>
      </c>
      <c r="E458" s="16">
        <v>4.9000000000000004</v>
      </c>
      <c r="F458" s="16">
        <v>6.6</v>
      </c>
      <c r="G458" s="16">
        <v>6.601</v>
      </c>
      <c r="H458" s="16">
        <v>0</v>
      </c>
      <c r="I458" s="12">
        <v>0</v>
      </c>
      <c r="L458" s="33">
        <f t="shared" si="7"/>
        <v>0</v>
      </c>
    </row>
    <row r="459" spans="1:12" x14ac:dyDescent="0.25">
      <c r="A459">
        <v>458</v>
      </c>
      <c r="B459" t="s">
        <v>1304</v>
      </c>
      <c r="C459" s="16">
        <v>6.851</v>
      </c>
      <c r="D459" s="12">
        <v>1</v>
      </c>
      <c r="E459" s="16">
        <v>4.4000000000000004</v>
      </c>
      <c r="F459" s="16">
        <v>6.6</v>
      </c>
      <c r="G459" s="16">
        <v>6.601</v>
      </c>
      <c r="H459" s="16">
        <v>0</v>
      </c>
      <c r="I459" s="12">
        <v>0</v>
      </c>
      <c r="L459" s="33">
        <f t="shared" si="7"/>
        <v>0</v>
      </c>
    </row>
    <row r="460" spans="1:12" x14ac:dyDescent="0.25">
      <c r="A460">
        <v>459</v>
      </c>
      <c r="B460" t="s">
        <v>1305</v>
      </c>
      <c r="C460" s="16">
        <v>6.726</v>
      </c>
      <c r="D460" s="12">
        <v>1</v>
      </c>
      <c r="E460" s="16">
        <v>4.2</v>
      </c>
      <c r="F460" s="16">
        <v>6.6</v>
      </c>
      <c r="G460" s="16">
        <v>6.601</v>
      </c>
      <c r="H460" s="16">
        <v>0</v>
      </c>
      <c r="I460" s="12">
        <v>0</v>
      </c>
      <c r="L460" s="33">
        <f t="shared" si="7"/>
        <v>0</v>
      </c>
    </row>
    <row r="461" spans="1:12" x14ac:dyDescent="0.25">
      <c r="A461">
        <v>460</v>
      </c>
      <c r="B461" t="s">
        <v>1307</v>
      </c>
      <c r="C461" s="16">
        <v>6.601</v>
      </c>
      <c r="D461" s="12">
        <v>1</v>
      </c>
      <c r="E461" s="16">
        <v>4.0999999999999996</v>
      </c>
      <c r="F461" s="16">
        <v>6.6</v>
      </c>
      <c r="G461" s="16">
        <v>6.601</v>
      </c>
      <c r="H461" s="16">
        <v>0</v>
      </c>
      <c r="I461" s="12">
        <v>0</v>
      </c>
      <c r="L461" s="33">
        <f t="shared" si="7"/>
        <v>0</v>
      </c>
    </row>
    <row r="462" spans="1:12" x14ac:dyDescent="0.25">
      <c r="A462">
        <v>461</v>
      </c>
      <c r="B462" t="s">
        <v>1254</v>
      </c>
      <c r="C462" s="16">
        <v>7.2569999999999997</v>
      </c>
      <c r="D462" s="12">
        <v>1</v>
      </c>
      <c r="E462" s="16">
        <v>4.8</v>
      </c>
      <c r="F462" s="16">
        <v>6.5</v>
      </c>
      <c r="G462" s="16">
        <v>6.5069999999999997</v>
      </c>
      <c r="H462" s="16">
        <v>0</v>
      </c>
      <c r="I462" s="12">
        <v>0</v>
      </c>
      <c r="L462" s="33">
        <f t="shared" si="7"/>
        <v>0</v>
      </c>
    </row>
    <row r="463" spans="1:12" x14ac:dyDescent="0.25">
      <c r="A463">
        <v>462</v>
      </c>
      <c r="B463" t="s">
        <v>1257</v>
      </c>
      <c r="C463" s="16">
        <v>6.7569999999999997</v>
      </c>
      <c r="D463" s="12">
        <v>1</v>
      </c>
      <c r="E463" s="16">
        <v>4.3</v>
      </c>
      <c r="F463" s="16">
        <v>6.5</v>
      </c>
      <c r="G463" s="16">
        <v>6.5069999999999997</v>
      </c>
      <c r="H463" s="16">
        <v>0</v>
      </c>
      <c r="I463" s="12">
        <v>0</v>
      </c>
      <c r="L463" s="33">
        <f t="shared" si="7"/>
        <v>0</v>
      </c>
    </row>
    <row r="464" spans="1:12" x14ac:dyDescent="0.25">
      <c r="A464">
        <v>463</v>
      </c>
      <c r="B464" t="s">
        <v>1256</v>
      </c>
      <c r="C464" s="16">
        <v>6.6319999999999997</v>
      </c>
      <c r="D464" s="12">
        <v>1</v>
      </c>
      <c r="E464" s="16">
        <v>4.0999999999999996</v>
      </c>
      <c r="F464" s="16">
        <v>6.5</v>
      </c>
      <c r="G464" s="16">
        <v>6.5069999999999997</v>
      </c>
      <c r="H464" s="16">
        <v>0</v>
      </c>
      <c r="I464" s="12">
        <v>0</v>
      </c>
      <c r="L464" s="33">
        <f t="shared" si="7"/>
        <v>0</v>
      </c>
    </row>
    <row r="465" spans="1:12" x14ac:dyDescent="0.25">
      <c r="A465">
        <v>464</v>
      </c>
      <c r="B465" t="s">
        <v>1255</v>
      </c>
      <c r="C465" s="16">
        <v>6.5069999999999997</v>
      </c>
      <c r="D465" s="12">
        <v>1</v>
      </c>
      <c r="E465" s="16">
        <v>4</v>
      </c>
      <c r="F465" s="16">
        <v>6.5</v>
      </c>
      <c r="G465" s="16">
        <v>6.5069999999999997</v>
      </c>
      <c r="H465" s="16">
        <v>0</v>
      </c>
      <c r="I465" s="12">
        <v>0</v>
      </c>
      <c r="L465" s="33">
        <f t="shared" si="7"/>
        <v>0</v>
      </c>
    </row>
    <row r="466" spans="1:12" x14ac:dyDescent="0.25">
      <c r="A466">
        <v>465</v>
      </c>
      <c r="B466" t="s">
        <v>780</v>
      </c>
      <c r="C466" s="16">
        <v>6.6289999999999996</v>
      </c>
      <c r="D466" s="12">
        <v>1</v>
      </c>
      <c r="E466" s="16">
        <v>4.0999999999999996</v>
      </c>
      <c r="F466" s="16">
        <v>6.5</v>
      </c>
      <c r="G466" s="16">
        <v>6.5039999999999996</v>
      </c>
      <c r="H466" s="16">
        <v>0</v>
      </c>
      <c r="I466" s="12">
        <v>0</v>
      </c>
      <c r="L466" s="33">
        <f t="shared" si="7"/>
        <v>0</v>
      </c>
    </row>
    <row r="467" spans="1:12" x14ac:dyDescent="0.25">
      <c r="A467">
        <v>466</v>
      </c>
      <c r="B467" t="s">
        <v>811</v>
      </c>
      <c r="C467" s="16">
        <v>6.5039999999999996</v>
      </c>
      <c r="D467" s="12">
        <v>1</v>
      </c>
      <c r="E467" s="16">
        <v>4</v>
      </c>
      <c r="F467" s="16">
        <v>6.5</v>
      </c>
      <c r="G467" s="16">
        <v>6.5039999999999996</v>
      </c>
      <c r="H467" s="16">
        <v>0</v>
      </c>
      <c r="I467" s="12">
        <v>0</v>
      </c>
      <c r="L467" s="33">
        <f t="shared" si="7"/>
        <v>0</v>
      </c>
    </row>
    <row r="468" spans="1:12" x14ac:dyDescent="0.25">
      <c r="A468">
        <v>467</v>
      </c>
      <c r="B468" t="s">
        <v>477</v>
      </c>
      <c r="C468" s="16">
        <v>6.7530000000000001</v>
      </c>
      <c r="D468" s="12">
        <v>1</v>
      </c>
      <c r="E468" s="16">
        <v>4.3</v>
      </c>
      <c r="F468" s="16">
        <v>6.5</v>
      </c>
      <c r="G468" s="16">
        <v>6.5030000000000001</v>
      </c>
      <c r="H468" s="16">
        <v>0</v>
      </c>
      <c r="I468" s="12">
        <v>0</v>
      </c>
      <c r="L468" s="33">
        <f t="shared" si="7"/>
        <v>0</v>
      </c>
    </row>
    <row r="469" spans="1:12" x14ac:dyDescent="0.25">
      <c r="A469">
        <v>468</v>
      </c>
      <c r="B469" t="s">
        <v>478</v>
      </c>
      <c r="C469" s="16">
        <v>6.6280000000000001</v>
      </c>
      <c r="D469" s="12">
        <v>1</v>
      </c>
      <c r="E469" s="16">
        <v>4.0999999999999996</v>
      </c>
      <c r="F469" s="16">
        <v>6.5</v>
      </c>
      <c r="G469" s="16">
        <v>6.5030000000000001</v>
      </c>
      <c r="H469" s="16">
        <v>0</v>
      </c>
      <c r="I469" s="12">
        <v>0</v>
      </c>
      <c r="L469" s="33">
        <f t="shared" si="7"/>
        <v>0</v>
      </c>
    </row>
    <row r="470" spans="1:12" x14ac:dyDescent="0.25">
      <c r="A470">
        <v>469</v>
      </c>
      <c r="B470" t="s">
        <v>484</v>
      </c>
      <c r="C470" s="16">
        <v>7.2519999999999998</v>
      </c>
      <c r="D470" s="12">
        <v>1</v>
      </c>
      <c r="E470" s="16">
        <v>4.8</v>
      </c>
      <c r="F470" s="16">
        <v>6.5</v>
      </c>
      <c r="G470" s="16">
        <v>6.5019999999999998</v>
      </c>
      <c r="H470" s="16">
        <v>0</v>
      </c>
      <c r="I470" s="12">
        <v>0</v>
      </c>
      <c r="L470" s="33">
        <f t="shared" si="7"/>
        <v>0</v>
      </c>
    </row>
    <row r="471" spans="1:12" x14ac:dyDescent="0.25">
      <c r="A471">
        <v>470</v>
      </c>
      <c r="B471" t="s">
        <v>485</v>
      </c>
      <c r="C471" s="16">
        <v>6.7519999999999998</v>
      </c>
      <c r="D471" s="12">
        <v>1</v>
      </c>
      <c r="E471" s="16">
        <v>4.3</v>
      </c>
      <c r="F471" s="16">
        <v>6.5</v>
      </c>
      <c r="G471" s="16">
        <v>6.5019999999999998</v>
      </c>
      <c r="H471" s="16">
        <v>0</v>
      </c>
      <c r="I471" s="12">
        <v>0</v>
      </c>
      <c r="L471" s="33">
        <f t="shared" si="7"/>
        <v>0</v>
      </c>
    </row>
    <row r="472" spans="1:12" x14ac:dyDescent="0.25">
      <c r="A472">
        <v>471</v>
      </c>
      <c r="B472" t="s">
        <v>486</v>
      </c>
      <c r="C472" s="16">
        <v>6.6269999999999998</v>
      </c>
      <c r="D472" s="12">
        <v>1</v>
      </c>
      <c r="E472" s="16">
        <v>4.0999999999999996</v>
      </c>
      <c r="F472" s="16">
        <v>6.5</v>
      </c>
      <c r="G472" s="16">
        <v>6.5019999999999998</v>
      </c>
      <c r="H472" s="16">
        <v>0</v>
      </c>
      <c r="I472" s="12">
        <v>0</v>
      </c>
      <c r="L472" s="33">
        <f t="shared" si="7"/>
        <v>0</v>
      </c>
    </row>
    <row r="473" spans="1:12" x14ac:dyDescent="0.25">
      <c r="A473">
        <v>472</v>
      </c>
      <c r="B473" t="s">
        <v>487</v>
      </c>
      <c r="C473" s="16">
        <v>6.5019999999999998</v>
      </c>
      <c r="D473" s="12">
        <v>1</v>
      </c>
      <c r="E473" s="16">
        <v>4</v>
      </c>
      <c r="F473" s="16">
        <v>6.5</v>
      </c>
      <c r="G473" s="16">
        <v>6.5019999999999998</v>
      </c>
      <c r="H473" s="16">
        <v>0</v>
      </c>
      <c r="I473" s="12">
        <v>0</v>
      </c>
      <c r="L473" s="33">
        <f t="shared" si="7"/>
        <v>0</v>
      </c>
    </row>
    <row r="474" spans="1:12" x14ac:dyDescent="0.25">
      <c r="A474">
        <v>473</v>
      </c>
      <c r="B474" t="s">
        <v>1020</v>
      </c>
      <c r="C474" s="16">
        <v>19.556000000000001</v>
      </c>
      <c r="D474" s="12">
        <v>3</v>
      </c>
      <c r="E474" s="16">
        <v>5.7</v>
      </c>
      <c r="F474" s="16">
        <v>6.3</v>
      </c>
      <c r="G474" s="16">
        <v>18.806000000000001</v>
      </c>
      <c r="H474" s="16">
        <v>0</v>
      </c>
      <c r="I474" s="12">
        <v>0</v>
      </c>
      <c r="L474" s="33">
        <f t="shared" si="7"/>
        <v>0</v>
      </c>
    </row>
    <row r="475" spans="1:12" x14ac:dyDescent="0.25">
      <c r="A475">
        <v>474</v>
      </c>
      <c r="B475" t="s">
        <v>803</v>
      </c>
      <c r="C475" s="16">
        <v>6.657</v>
      </c>
      <c r="D475" s="12">
        <v>1</v>
      </c>
      <c r="E475" s="16">
        <v>4.2</v>
      </c>
      <c r="F475" s="16">
        <v>6.4</v>
      </c>
      <c r="G475" s="16">
        <v>6.407</v>
      </c>
      <c r="H475" s="16">
        <v>0</v>
      </c>
      <c r="I475" s="12">
        <v>0</v>
      </c>
      <c r="L475" s="33">
        <f t="shared" si="7"/>
        <v>0</v>
      </c>
    </row>
    <row r="476" spans="1:12" x14ac:dyDescent="0.25">
      <c r="A476">
        <v>475</v>
      </c>
      <c r="B476" t="s">
        <v>773</v>
      </c>
      <c r="C476" s="16">
        <v>6.532</v>
      </c>
      <c r="D476" s="12">
        <v>1</v>
      </c>
      <c r="E476" s="16">
        <v>4</v>
      </c>
      <c r="F476" s="16">
        <v>6.4</v>
      </c>
      <c r="G476" s="16">
        <v>6.407</v>
      </c>
      <c r="H476" s="16">
        <v>0</v>
      </c>
      <c r="I476" s="12">
        <v>0</v>
      </c>
      <c r="L476" s="33">
        <f t="shared" si="7"/>
        <v>0</v>
      </c>
    </row>
    <row r="477" spans="1:12" x14ac:dyDescent="0.25">
      <c r="A477">
        <v>476</v>
      </c>
      <c r="B477" t="s">
        <v>802</v>
      </c>
      <c r="C477" s="16">
        <v>6.407</v>
      </c>
      <c r="D477" s="12">
        <v>1</v>
      </c>
      <c r="E477" s="16">
        <v>3.9</v>
      </c>
      <c r="F477" s="16">
        <v>6.4</v>
      </c>
      <c r="G477" s="16">
        <v>6.407</v>
      </c>
      <c r="H477" s="16">
        <v>0</v>
      </c>
      <c r="I477" s="12">
        <v>0</v>
      </c>
      <c r="L477" s="33">
        <f t="shared" si="7"/>
        <v>0</v>
      </c>
    </row>
    <row r="478" spans="1:12" x14ac:dyDescent="0.25">
      <c r="A478">
        <v>477</v>
      </c>
      <c r="B478" t="s">
        <v>1195</v>
      </c>
      <c r="C478" s="16">
        <v>6.6559999999999997</v>
      </c>
      <c r="D478" s="12">
        <v>1</v>
      </c>
      <c r="E478" s="16">
        <v>4.2</v>
      </c>
      <c r="F478" s="16">
        <v>6.4</v>
      </c>
      <c r="G478" s="16">
        <v>6.4059999999999997</v>
      </c>
      <c r="H478" s="16">
        <v>0</v>
      </c>
      <c r="I478" s="12">
        <v>0</v>
      </c>
      <c r="L478" s="33">
        <f t="shared" si="7"/>
        <v>0</v>
      </c>
    </row>
    <row r="479" spans="1:12" x14ac:dyDescent="0.25">
      <c r="A479">
        <v>478</v>
      </c>
      <c r="B479" t="s">
        <v>403</v>
      </c>
      <c r="C479" s="16">
        <v>6.5309999999999997</v>
      </c>
      <c r="D479" s="12">
        <v>1</v>
      </c>
      <c r="E479" s="16">
        <v>4</v>
      </c>
      <c r="F479" s="16">
        <v>6.4</v>
      </c>
      <c r="G479" s="16">
        <v>6.4059999999999997</v>
      </c>
      <c r="H479" s="16">
        <v>0</v>
      </c>
      <c r="I479" s="12">
        <v>0</v>
      </c>
      <c r="L479" s="33">
        <f t="shared" si="7"/>
        <v>0</v>
      </c>
    </row>
    <row r="480" spans="1:12" x14ac:dyDescent="0.25">
      <c r="A480">
        <v>479</v>
      </c>
      <c r="B480" t="s">
        <v>404</v>
      </c>
      <c r="C480" s="16">
        <v>6.4059999999999997</v>
      </c>
      <c r="D480" s="12">
        <v>1</v>
      </c>
      <c r="E480" s="16">
        <v>3.9</v>
      </c>
      <c r="F480" s="16">
        <v>6.4</v>
      </c>
      <c r="G480" s="16">
        <v>6.4059999999999997</v>
      </c>
      <c r="H480" s="16">
        <v>0</v>
      </c>
      <c r="I480" s="12">
        <v>0</v>
      </c>
      <c r="L480" s="33">
        <f t="shared" si="7"/>
        <v>0</v>
      </c>
    </row>
    <row r="481" spans="1:12" x14ac:dyDescent="0.25">
      <c r="A481">
        <v>480</v>
      </c>
      <c r="B481" t="s">
        <v>1215</v>
      </c>
      <c r="C481" s="16">
        <v>6.53</v>
      </c>
      <c r="D481" s="12">
        <v>1</v>
      </c>
      <c r="E481" s="16">
        <v>4</v>
      </c>
      <c r="F481" s="16">
        <v>6.4</v>
      </c>
      <c r="G481" s="16">
        <v>6.4050000000000002</v>
      </c>
      <c r="H481" s="16">
        <v>0</v>
      </c>
      <c r="I481" s="12">
        <v>0</v>
      </c>
      <c r="L481" s="33">
        <f t="shared" si="7"/>
        <v>0</v>
      </c>
    </row>
    <row r="482" spans="1:12" x14ac:dyDescent="0.25">
      <c r="A482">
        <v>481</v>
      </c>
      <c r="B482" t="s">
        <v>1216</v>
      </c>
      <c r="C482" s="16">
        <v>6.4050000000000002</v>
      </c>
      <c r="D482" s="12">
        <v>1</v>
      </c>
      <c r="E482" s="16">
        <v>3.9</v>
      </c>
      <c r="F482" s="16">
        <v>6.4</v>
      </c>
      <c r="G482" s="16">
        <v>6.4050000000000002</v>
      </c>
      <c r="H482" s="16">
        <v>0</v>
      </c>
      <c r="I482" s="12">
        <v>0</v>
      </c>
      <c r="L482" s="33">
        <f t="shared" si="7"/>
        <v>0</v>
      </c>
    </row>
    <row r="483" spans="1:12" x14ac:dyDescent="0.25">
      <c r="A483">
        <v>482</v>
      </c>
      <c r="B483" t="s">
        <v>784</v>
      </c>
      <c r="C483" s="16">
        <v>12.654999999999999</v>
      </c>
      <c r="D483" s="12">
        <v>2</v>
      </c>
      <c r="E483" s="16">
        <v>5.0999999999999996</v>
      </c>
      <c r="F483" s="16">
        <v>6.2</v>
      </c>
      <c r="G483" s="16">
        <v>12.404999999999999</v>
      </c>
      <c r="H483" s="16">
        <v>0</v>
      </c>
      <c r="I483" s="12">
        <v>0</v>
      </c>
      <c r="L483" s="33">
        <f t="shared" si="7"/>
        <v>0</v>
      </c>
    </row>
    <row r="484" spans="1:12" x14ac:dyDescent="0.25">
      <c r="A484">
        <v>483</v>
      </c>
      <c r="B484" t="s">
        <v>750</v>
      </c>
      <c r="C484" s="16">
        <v>6.6520000000000001</v>
      </c>
      <c r="D484" s="12">
        <v>1</v>
      </c>
      <c r="E484" s="16">
        <v>4.2</v>
      </c>
      <c r="F484" s="16">
        <v>6.4</v>
      </c>
      <c r="G484" s="16">
        <v>6.4020000000000001</v>
      </c>
      <c r="H484" s="16">
        <v>0</v>
      </c>
      <c r="I484" s="12">
        <v>0</v>
      </c>
      <c r="L484" s="33">
        <f t="shared" si="7"/>
        <v>0</v>
      </c>
    </row>
    <row r="485" spans="1:12" x14ac:dyDescent="0.25">
      <c r="A485">
        <v>484</v>
      </c>
      <c r="B485" t="s">
        <v>416</v>
      </c>
      <c r="C485" s="16">
        <v>12.632000000000001</v>
      </c>
      <c r="D485" s="12">
        <v>2</v>
      </c>
      <c r="E485" s="16">
        <v>5.0999999999999996</v>
      </c>
      <c r="F485" s="16">
        <v>6.3</v>
      </c>
      <c r="G485" s="16">
        <v>12.507000000000001</v>
      </c>
      <c r="H485" s="16">
        <v>0</v>
      </c>
      <c r="I485" s="12">
        <v>0</v>
      </c>
      <c r="L485" s="33">
        <f t="shared" si="7"/>
        <v>0</v>
      </c>
    </row>
    <row r="486" spans="1:12" x14ac:dyDescent="0.25">
      <c r="A486">
        <v>485</v>
      </c>
      <c r="B486" t="s">
        <v>751</v>
      </c>
      <c r="C486" s="16">
        <v>6.4020000000000001</v>
      </c>
      <c r="D486" s="12">
        <v>1</v>
      </c>
      <c r="E486" s="16">
        <v>3.9</v>
      </c>
      <c r="F486" s="16">
        <v>6.4</v>
      </c>
      <c r="G486" s="16">
        <v>6.4020000000000001</v>
      </c>
      <c r="H486" s="16">
        <v>0</v>
      </c>
      <c r="I486" s="12">
        <v>0</v>
      </c>
      <c r="L486" s="33">
        <f t="shared" si="7"/>
        <v>0</v>
      </c>
    </row>
    <row r="487" spans="1:12" x14ac:dyDescent="0.25">
      <c r="A487">
        <v>486</v>
      </c>
      <c r="B487" t="s">
        <v>1224</v>
      </c>
      <c r="C487" s="16">
        <v>6.6509999999999998</v>
      </c>
      <c r="D487" s="12">
        <v>1</v>
      </c>
      <c r="E487" s="16">
        <v>4.2</v>
      </c>
      <c r="F487" s="16">
        <v>6.4</v>
      </c>
      <c r="G487" s="16">
        <v>6.4009999999999998</v>
      </c>
      <c r="H487" s="16">
        <v>0</v>
      </c>
      <c r="I487" s="12">
        <v>0</v>
      </c>
      <c r="L487" s="33">
        <f t="shared" si="7"/>
        <v>0</v>
      </c>
    </row>
    <row r="488" spans="1:12" x14ac:dyDescent="0.25">
      <c r="A488">
        <v>487</v>
      </c>
      <c r="B488" t="s">
        <v>1225</v>
      </c>
      <c r="C488" s="16">
        <v>6.4009999999999998</v>
      </c>
      <c r="D488" s="12">
        <v>1</v>
      </c>
      <c r="E488" s="16">
        <v>3.9</v>
      </c>
      <c r="F488" s="16">
        <v>6.4</v>
      </c>
      <c r="G488" s="16">
        <v>6.4009999999999998</v>
      </c>
      <c r="H488" s="16">
        <v>0</v>
      </c>
      <c r="I488" s="12">
        <v>0</v>
      </c>
      <c r="L488" s="33">
        <f t="shared" si="7"/>
        <v>0</v>
      </c>
    </row>
    <row r="489" spans="1:12" x14ac:dyDescent="0.25">
      <c r="A489">
        <v>488</v>
      </c>
      <c r="B489" t="s">
        <v>948</v>
      </c>
      <c r="C489" s="16">
        <v>6.5570000000000004</v>
      </c>
      <c r="D489" s="12">
        <v>1</v>
      </c>
      <c r="E489" s="16">
        <v>4.0999999999999996</v>
      </c>
      <c r="F489" s="16">
        <v>6.3</v>
      </c>
      <c r="G489" s="16">
        <v>6.3070000000000004</v>
      </c>
      <c r="H489" s="16">
        <v>0</v>
      </c>
      <c r="I489" s="12">
        <v>0</v>
      </c>
      <c r="L489" s="33">
        <f t="shared" si="7"/>
        <v>0</v>
      </c>
    </row>
    <row r="490" spans="1:12" x14ac:dyDescent="0.25">
      <c r="A490">
        <v>489</v>
      </c>
      <c r="B490" t="s">
        <v>569</v>
      </c>
      <c r="C490" s="16">
        <v>6.3070000000000004</v>
      </c>
      <c r="D490" s="12">
        <v>1</v>
      </c>
      <c r="E490" s="16">
        <v>3.8</v>
      </c>
      <c r="F490" s="16">
        <v>6.3</v>
      </c>
      <c r="G490" s="16">
        <v>6.3070000000000004</v>
      </c>
      <c r="H490" s="16">
        <v>0</v>
      </c>
      <c r="I490" s="12">
        <v>0</v>
      </c>
      <c r="L490" s="33">
        <f t="shared" si="7"/>
        <v>0</v>
      </c>
    </row>
    <row r="491" spans="1:12" x14ac:dyDescent="0.25">
      <c r="A491">
        <v>490</v>
      </c>
      <c r="B491" t="s">
        <v>776</v>
      </c>
      <c r="C491" s="16">
        <v>6.556</v>
      </c>
      <c r="D491" s="12">
        <v>1</v>
      </c>
      <c r="E491" s="16">
        <v>4.0999999999999996</v>
      </c>
      <c r="F491" s="16">
        <v>6.3</v>
      </c>
      <c r="G491" s="16">
        <v>6.306</v>
      </c>
      <c r="H491" s="16">
        <v>0</v>
      </c>
      <c r="I491" s="12">
        <v>0</v>
      </c>
      <c r="L491" s="33">
        <f t="shared" si="7"/>
        <v>0</v>
      </c>
    </row>
    <row r="492" spans="1:12" x14ac:dyDescent="0.25">
      <c r="A492">
        <v>491</v>
      </c>
      <c r="B492" t="s">
        <v>413</v>
      </c>
      <c r="C492" s="16">
        <v>18.689</v>
      </c>
      <c r="D492" s="12">
        <v>3</v>
      </c>
      <c r="E492" s="16">
        <v>5.4</v>
      </c>
      <c r="F492" s="16">
        <v>6.1</v>
      </c>
      <c r="G492" s="16">
        <v>18.314</v>
      </c>
      <c r="H492" s="16">
        <v>0</v>
      </c>
      <c r="I492" s="12">
        <v>0</v>
      </c>
      <c r="L492" s="33">
        <f t="shared" si="7"/>
        <v>0</v>
      </c>
    </row>
    <row r="493" spans="1:12" x14ac:dyDescent="0.25">
      <c r="A493">
        <v>492</v>
      </c>
      <c r="B493" t="s">
        <v>116</v>
      </c>
      <c r="C493" s="16">
        <v>16.959</v>
      </c>
      <c r="D493" s="12">
        <v>3</v>
      </c>
      <c r="E493" s="16">
        <v>4.8</v>
      </c>
      <c r="F493" s="16">
        <v>5.4</v>
      </c>
      <c r="G493" s="16">
        <v>16.209</v>
      </c>
      <c r="H493" s="16">
        <v>0</v>
      </c>
      <c r="I493" s="12">
        <v>0</v>
      </c>
      <c r="L493" s="33">
        <f t="shared" si="7"/>
        <v>0</v>
      </c>
    </row>
    <row r="494" spans="1:12" x14ac:dyDescent="0.25">
      <c r="A494">
        <v>493</v>
      </c>
      <c r="B494" t="s">
        <v>770</v>
      </c>
      <c r="C494" s="16">
        <v>6.43</v>
      </c>
      <c r="D494" s="12">
        <v>1</v>
      </c>
      <c r="E494" s="16">
        <v>3.9</v>
      </c>
      <c r="F494" s="16">
        <v>6.3</v>
      </c>
      <c r="G494" s="16">
        <v>6.3049999999999997</v>
      </c>
      <c r="H494" s="16">
        <v>0</v>
      </c>
      <c r="I494" s="12">
        <v>0</v>
      </c>
      <c r="L494" s="33">
        <f t="shared" si="7"/>
        <v>0</v>
      </c>
    </row>
    <row r="495" spans="1:12" x14ac:dyDescent="0.25">
      <c r="A495">
        <v>494</v>
      </c>
      <c r="B495" t="s">
        <v>791</v>
      </c>
      <c r="C495" s="16">
        <v>6.3049999999999997</v>
      </c>
      <c r="D495" s="12">
        <v>1</v>
      </c>
      <c r="E495" s="16">
        <v>3.8</v>
      </c>
      <c r="F495" s="16">
        <v>6.3</v>
      </c>
      <c r="G495" s="16">
        <v>6.3049999999999997</v>
      </c>
      <c r="H495" s="16">
        <v>0</v>
      </c>
      <c r="I495" s="12">
        <v>0</v>
      </c>
      <c r="L495" s="33">
        <f t="shared" si="7"/>
        <v>0</v>
      </c>
    </row>
    <row r="496" spans="1:12" x14ac:dyDescent="0.25">
      <c r="A496">
        <v>495</v>
      </c>
      <c r="B496" t="s">
        <v>415</v>
      </c>
      <c r="C496" s="16">
        <v>6.3040000000000003</v>
      </c>
      <c r="D496" s="12">
        <v>1</v>
      </c>
      <c r="E496" s="16">
        <v>3.8</v>
      </c>
      <c r="F496" s="16">
        <v>6.3</v>
      </c>
      <c r="G496" s="16">
        <v>6.3040000000000003</v>
      </c>
      <c r="H496" s="16">
        <v>0</v>
      </c>
      <c r="I496" s="12">
        <v>0</v>
      </c>
      <c r="L496" s="33">
        <f t="shared" si="7"/>
        <v>0</v>
      </c>
    </row>
    <row r="497" spans="1:12" x14ac:dyDescent="0.25">
      <c r="A497">
        <v>496</v>
      </c>
      <c r="B497" t="s">
        <v>1082</v>
      </c>
      <c r="C497" s="16">
        <v>6.5529999999999999</v>
      </c>
      <c r="D497" s="12">
        <v>1</v>
      </c>
      <c r="E497" s="16">
        <v>4.0999999999999996</v>
      </c>
      <c r="F497" s="16">
        <v>6.3</v>
      </c>
      <c r="G497" s="16">
        <v>6.3029999999999999</v>
      </c>
      <c r="H497" s="16">
        <v>0</v>
      </c>
      <c r="I497" s="12">
        <v>0</v>
      </c>
      <c r="L497" s="33">
        <f t="shared" si="7"/>
        <v>0</v>
      </c>
    </row>
    <row r="498" spans="1:12" x14ac:dyDescent="0.25">
      <c r="A498">
        <v>497</v>
      </c>
      <c r="B498" t="s">
        <v>1083</v>
      </c>
      <c r="C498" s="16">
        <v>6.4279999999999999</v>
      </c>
      <c r="D498" s="12">
        <v>1</v>
      </c>
      <c r="E498" s="16">
        <v>3.9</v>
      </c>
      <c r="F498" s="16">
        <v>6.3</v>
      </c>
      <c r="G498" s="16">
        <v>6.3029999999999999</v>
      </c>
      <c r="H498" s="16">
        <v>0</v>
      </c>
      <c r="I498" s="12">
        <v>0</v>
      </c>
      <c r="L498" s="33">
        <f t="shared" si="7"/>
        <v>0</v>
      </c>
    </row>
    <row r="499" spans="1:12" x14ac:dyDescent="0.25">
      <c r="A499">
        <v>498</v>
      </c>
      <c r="B499" t="s">
        <v>1084</v>
      </c>
      <c r="C499" s="16">
        <v>6.3029999999999999</v>
      </c>
      <c r="D499" s="12">
        <v>1</v>
      </c>
      <c r="E499" s="16">
        <v>3.8</v>
      </c>
      <c r="F499" s="16">
        <v>6.3</v>
      </c>
      <c r="G499" s="16">
        <v>6.3029999999999999</v>
      </c>
      <c r="H499" s="16">
        <v>0</v>
      </c>
      <c r="I499" s="12">
        <v>0</v>
      </c>
      <c r="L499" s="33">
        <f t="shared" si="7"/>
        <v>0</v>
      </c>
    </row>
    <row r="500" spans="1:12" x14ac:dyDescent="0.25">
      <c r="A500">
        <v>499</v>
      </c>
      <c r="B500" t="s">
        <v>1197</v>
      </c>
      <c r="C500" s="16">
        <v>6.3019999999999996</v>
      </c>
      <c r="D500" s="12">
        <v>1</v>
      </c>
      <c r="E500" s="16">
        <v>3.8</v>
      </c>
      <c r="F500" s="16">
        <v>6.3</v>
      </c>
      <c r="G500" s="16">
        <v>6.3019999999999996</v>
      </c>
      <c r="H500" s="16">
        <v>0</v>
      </c>
      <c r="I500" s="12">
        <v>0</v>
      </c>
      <c r="L500" s="33">
        <f t="shared" si="7"/>
        <v>0</v>
      </c>
    </row>
    <row r="501" spans="1:12" x14ac:dyDescent="0.25">
      <c r="A501">
        <v>500</v>
      </c>
      <c r="B501" t="s">
        <v>289</v>
      </c>
      <c r="C501" s="16">
        <v>7.0510000000000002</v>
      </c>
      <c r="D501" s="12">
        <v>1</v>
      </c>
      <c r="E501" s="16">
        <v>4.5999999999999996</v>
      </c>
      <c r="F501" s="16">
        <v>6.3</v>
      </c>
      <c r="G501" s="16">
        <v>6.3010000000000002</v>
      </c>
      <c r="H501" s="16">
        <v>0</v>
      </c>
      <c r="I501" s="12">
        <v>0</v>
      </c>
      <c r="L501" s="33">
        <f t="shared" si="7"/>
        <v>0</v>
      </c>
    </row>
    <row r="502" spans="1:12" x14ac:dyDescent="0.25">
      <c r="A502">
        <v>501</v>
      </c>
      <c r="B502" t="s">
        <v>290</v>
      </c>
      <c r="C502" s="16">
        <v>6.5510000000000002</v>
      </c>
      <c r="D502" s="12">
        <v>1</v>
      </c>
      <c r="E502" s="16">
        <v>4.0999999999999996</v>
      </c>
      <c r="F502" s="16">
        <v>6.3</v>
      </c>
      <c r="G502" s="16">
        <v>6.3010000000000002</v>
      </c>
      <c r="H502" s="16">
        <v>0</v>
      </c>
      <c r="I502" s="12">
        <v>0</v>
      </c>
      <c r="L502" s="33">
        <f t="shared" si="7"/>
        <v>0</v>
      </c>
    </row>
    <row r="503" spans="1:12" x14ac:dyDescent="0.25">
      <c r="A503">
        <v>502</v>
      </c>
      <c r="B503" t="s">
        <v>291</v>
      </c>
      <c r="C503" s="16">
        <v>6.4260000000000002</v>
      </c>
      <c r="D503" s="12">
        <v>1</v>
      </c>
      <c r="E503" s="16">
        <v>3.9</v>
      </c>
      <c r="F503" s="16">
        <v>6.3</v>
      </c>
      <c r="G503" s="16">
        <v>6.3010000000000002</v>
      </c>
      <c r="H503" s="16">
        <v>0</v>
      </c>
      <c r="I503" s="12">
        <v>0</v>
      </c>
      <c r="L503" s="33">
        <f t="shared" si="7"/>
        <v>0</v>
      </c>
    </row>
    <row r="504" spans="1:12" x14ac:dyDescent="0.25">
      <c r="A504">
        <v>503</v>
      </c>
      <c r="B504" t="s">
        <v>292</v>
      </c>
      <c r="C504" s="16">
        <v>6.3010000000000002</v>
      </c>
      <c r="D504" s="12">
        <v>1</v>
      </c>
      <c r="E504" s="16">
        <v>3.8</v>
      </c>
      <c r="F504" s="16">
        <v>6.3</v>
      </c>
      <c r="G504" s="16">
        <v>6.3010000000000002</v>
      </c>
      <c r="H504" s="16">
        <v>0</v>
      </c>
      <c r="I504" s="12">
        <v>0</v>
      </c>
      <c r="L504" s="33">
        <f t="shared" si="7"/>
        <v>0</v>
      </c>
    </row>
    <row r="505" spans="1:12" x14ac:dyDescent="0.25">
      <c r="A505">
        <v>504</v>
      </c>
      <c r="B505" t="s">
        <v>1221</v>
      </c>
      <c r="C505" s="16">
        <v>6.4560000000000004</v>
      </c>
      <c r="D505" s="12">
        <v>1</v>
      </c>
      <c r="E505" s="16">
        <v>4</v>
      </c>
      <c r="F505" s="16">
        <v>6.2</v>
      </c>
      <c r="G505" s="16">
        <v>6.2060000000000004</v>
      </c>
      <c r="H505" s="16">
        <v>0</v>
      </c>
      <c r="I505" s="12">
        <v>0</v>
      </c>
      <c r="L505" s="33">
        <f t="shared" si="7"/>
        <v>0</v>
      </c>
    </row>
    <row r="506" spans="1:12" x14ac:dyDescent="0.25">
      <c r="A506">
        <v>505</v>
      </c>
      <c r="B506" t="s">
        <v>1222</v>
      </c>
      <c r="C506" s="16">
        <v>6.3310000000000004</v>
      </c>
      <c r="D506" s="12">
        <v>1</v>
      </c>
      <c r="E506" s="16">
        <v>3.8</v>
      </c>
      <c r="F506" s="16">
        <v>6.2</v>
      </c>
      <c r="G506" s="16">
        <v>6.2060000000000004</v>
      </c>
      <c r="H506" s="16">
        <v>0</v>
      </c>
      <c r="I506" s="12">
        <v>0</v>
      </c>
      <c r="L506" s="33">
        <f t="shared" si="7"/>
        <v>0</v>
      </c>
    </row>
    <row r="507" spans="1:12" x14ac:dyDescent="0.25">
      <c r="A507">
        <v>506</v>
      </c>
      <c r="B507" t="s">
        <v>1142</v>
      </c>
      <c r="C507" s="16">
        <v>12.260999999999999</v>
      </c>
      <c r="D507" s="12">
        <v>2</v>
      </c>
      <c r="E507" s="16">
        <v>4.9000000000000004</v>
      </c>
      <c r="F507" s="16">
        <v>6</v>
      </c>
      <c r="G507" s="16">
        <v>12.010999999999999</v>
      </c>
      <c r="H507" s="16">
        <v>0</v>
      </c>
      <c r="I507" s="12">
        <v>0</v>
      </c>
      <c r="L507" s="33">
        <f t="shared" si="7"/>
        <v>0</v>
      </c>
    </row>
    <row r="508" spans="1:12" x14ac:dyDescent="0.25">
      <c r="A508">
        <v>507</v>
      </c>
      <c r="B508" t="s">
        <v>1198</v>
      </c>
      <c r="C508" s="16">
        <v>6.4550000000000001</v>
      </c>
      <c r="D508" s="12">
        <v>1</v>
      </c>
      <c r="E508" s="16">
        <v>4</v>
      </c>
      <c r="F508" s="16">
        <v>6.2</v>
      </c>
      <c r="G508" s="16">
        <v>6.2050000000000001</v>
      </c>
      <c r="H508" s="16">
        <v>0</v>
      </c>
      <c r="I508" s="12">
        <v>0</v>
      </c>
      <c r="L508" s="33">
        <f t="shared" si="7"/>
        <v>0</v>
      </c>
    </row>
    <row r="509" spans="1:12" x14ac:dyDescent="0.25">
      <c r="A509">
        <v>508</v>
      </c>
      <c r="B509" t="s">
        <v>1113</v>
      </c>
      <c r="C509" s="16">
        <v>6.33</v>
      </c>
      <c r="D509" s="12">
        <v>1</v>
      </c>
      <c r="E509" s="16">
        <v>3.8</v>
      </c>
      <c r="F509" s="16">
        <v>6.2</v>
      </c>
      <c r="G509" s="16">
        <v>6.2050000000000001</v>
      </c>
      <c r="H509" s="16">
        <v>0</v>
      </c>
      <c r="I509" s="12">
        <v>0</v>
      </c>
      <c r="L509" s="33">
        <f t="shared" si="7"/>
        <v>0</v>
      </c>
    </row>
    <row r="510" spans="1:12" x14ac:dyDescent="0.25">
      <c r="A510">
        <v>509</v>
      </c>
      <c r="B510" t="s">
        <v>1114</v>
      </c>
      <c r="C510" s="16">
        <v>6.2050000000000001</v>
      </c>
      <c r="D510" s="12">
        <v>1</v>
      </c>
      <c r="E510" s="16">
        <v>3.7</v>
      </c>
      <c r="F510" s="16">
        <v>6.2</v>
      </c>
      <c r="G510" s="16">
        <v>6.2050000000000001</v>
      </c>
      <c r="H510" s="16">
        <v>0</v>
      </c>
      <c r="I510" s="12">
        <v>0</v>
      </c>
      <c r="L510" s="33">
        <f t="shared" si="7"/>
        <v>0</v>
      </c>
    </row>
    <row r="511" spans="1:12" x14ac:dyDescent="0.25">
      <c r="A511">
        <v>510</v>
      </c>
      <c r="B511" t="s">
        <v>1163</v>
      </c>
      <c r="C511" s="16">
        <v>6.9539999999999997</v>
      </c>
      <c r="D511" s="12">
        <v>1</v>
      </c>
      <c r="E511" s="16">
        <v>4.5</v>
      </c>
      <c r="F511" s="16">
        <v>6.2</v>
      </c>
      <c r="G511" s="16">
        <v>6.2039999999999997</v>
      </c>
      <c r="H511" s="16">
        <v>0</v>
      </c>
      <c r="I511" s="12">
        <v>0</v>
      </c>
      <c r="L511" s="33">
        <f t="shared" si="7"/>
        <v>0</v>
      </c>
    </row>
    <row r="512" spans="1:12" x14ac:dyDescent="0.25">
      <c r="A512">
        <v>511</v>
      </c>
      <c r="B512" t="s">
        <v>1164</v>
      </c>
      <c r="C512" s="16">
        <v>6.4539999999999997</v>
      </c>
      <c r="D512" s="12">
        <v>1</v>
      </c>
      <c r="E512" s="16">
        <v>4</v>
      </c>
      <c r="F512" s="16">
        <v>6.2</v>
      </c>
      <c r="G512" s="16">
        <v>6.2039999999999997</v>
      </c>
      <c r="H512" s="16">
        <v>0</v>
      </c>
      <c r="I512" s="12">
        <v>0</v>
      </c>
      <c r="L512" s="33">
        <f t="shared" si="7"/>
        <v>0</v>
      </c>
    </row>
    <row r="513" spans="1:12" x14ac:dyDescent="0.25">
      <c r="A513">
        <v>512</v>
      </c>
      <c r="B513" t="s">
        <v>1165</v>
      </c>
      <c r="C513" s="16">
        <v>6.3289999999999997</v>
      </c>
      <c r="D513" s="12">
        <v>1</v>
      </c>
      <c r="E513" s="16">
        <v>3.8</v>
      </c>
      <c r="F513" s="16">
        <v>6.2</v>
      </c>
      <c r="G513" s="16">
        <v>6.2039999999999997</v>
      </c>
      <c r="H513" s="16">
        <v>0</v>
      </c>
      <c r="I513" s="12">
        <v>0</v>
      </c>
      <c r="L513" s="33">
        <f t="shared" si="7"/>
        <v>0</v>
      </c>
    </row>
    <row r="514" spans="1:12" x14ac:dyDescent="0.25">
      <c r="A514">
        <v>513</v>
      </c>
      <c r="B514" t="s">
        <v>310</v>
      </c>
      <c r="C514" s="16">
        <v>9.3040000000000003</v>
      </c>
      <c r="D514" s="12">
        <v>2</v>
      </c>
      <c r="E514" s="16">
        <v>3.4</v>
      </c>
      <c r="F514" s="16">
        <v>4.7</v>
      </c>
      <c r="G514" s="16">
        <v>9.3040000000000003</v>
      </c>
      <c r="H514" s="16">
        <v>0</v>
      </c>
      <c r="I514" s="12">
        <v>0</v>
      </c>
      <c r="L514" s="33">
        <f t="shared" ref="L514:L577" si="8">I514/D514</f>
        <v>0</v>
      </c>
    </row>
    <row r="515" spans="1:12" x14ac:dyDescent="0.25">
      <c r="A515">
        <v>514</v>
      </c>
      <c r="B515" t="s">
        <v>1049</v>
      </c>
      <c r="C515" s="16">
        <v>6.2030000000000003</v>
      </c>
      <c r="D515" s="12">
        <v>1</v>
      </c>
      <c r="E515" s="16">
        <v>3.7</v>
      </c>
      <c r="F515" s="16">
        <v>6.2</v>
      </c>
      <c r="G515" s="16">
        <v>6.2030000000000003</v>
      </c>
      <c r="H515" s="16">
        <v>0</v>
      </c>
      <c r="I515" s="12">
        <v>0</v>
      </c>
      <c r="L515" s="33">
        <f t="shared" si="8"/>
        <v>0</v>
      </c>
    </row>
    <row r="516" spans="1:12" x14ac:dyDescent="0.25">
      <c r="A516">
        <v>515</v>
      </c>
      <c r="B516" t="s">
        <v>417</v>
      </c>
      <c r="C516" s="16">
        <v>13.108000000000001</v>
      </c>
      <c r="D516" s="12">
        <v>2</v>
      </c>
      <c r="E516" s="16">
        <v>5.3</v>
      </c>
      <c r="F516" s="16">
        <v>6.1</v>
      </c>
      <c r="G516" s="16">
        <v>12.108000000000001</v>
      </c>
      <c r="H516" s="16">
        <v>0</v>
      </c>
      <c r="I516" s="12">
        <v>0</v>
      </c>
      <c r="L516" s="33">
        <f t="shared" si="8"/>
        <v>0</v>
      </c>
    </row>
    <row r="517" spans="1:12" x14ac:dyDescent="0.25">
      <c r="A517">
        <v>516</v>
      </c>
      <c r="B517" t="s">
        <v>418</v>
      </c>
      <c r="C517" s="16">
        <v>6.327</v>
      </c>
      <c r="D517" s="12">
        <v>1</v>
      </c>
      <c r="E517" s="16">
        <v>3.8</v>
      </c>
      <c r="F517" s="16">
        <v>6.2</v>
      </c>
      <c r="G517" s="16">
        <v>6.202</v>
      </c>
      <c r="H517" s="16">
        <v>0</v>
      </c>
      <c r="I517" s="12">
        <v>0</v>
      </c>
      <c r="L517" s="33">
        <f t="shared" si="8"/>
        <v>0</v>
      </c>
    </row>
    <row r="518" spans="1:12" x14ac:dyDescent="0.25">
      <c r="A518">
        <v>517</v>
      </c>
      <c r="B518" t="s">
        <v>419</v>
      </c>
      <c r="C518" s="16">
        <v>6.202</v>
      </c>
      <c r="D518" s="12">
        <v>1</v>
      </c>
      <c r="E518" s="16">
        <v>3.7</v>
      </c>
      <c r="F518" s="16">
        <v>6.2</v>
      </c>
      <c r="G518" s="16">
        <v>6.202</v>
      </c>
      <c r="H518" s="16">
        <v>0</v>
      </c>
      <c r="I518" s="12">
        <v>0</v>
      </c>
      <c r="L518" s="33">
        <f t="shared" si="8"/>
        <v>0</v>
      </c>
    </row>
    <row r="519" spans="1:12" x14ac:dyDescent="0.25">
      <c r="A519">
        <v>518</v>
      </c>
      <c r="B519" t="s">
        <v>955</v>
      </c>
      <c r="C519" s="16">
        <v>6.2009999999999996</v>
      </c>
      <c r="D519" s="12">
        <v>1</v>
      </c>
      <c r="E519" s="16">
        <v>3.7</v>
      </c>
      <c r="F519" s="16">
        <v>6.2</v>
      </c>
      <c r="G519" s="16">
        <v>6.2009999999999996</v>
      </c>
      <c r="H519" s="16">
        <v>0</v>
      </c>
      <c r="I519" s="12">
        <v>0</v>
      </c>
      <c r="L519" s="33">
        <f t="shared" si="8"/>
        <v>0</v>
      </c>
    </row>
    <row r="520" spans="1:12" x14ac:dyDescent="0.25">
      <c r="A520">
        <v>519</v>
      </c>
      <c r="B520" t="s">
        <v>313</v>
      </c>
      <c r="C520" s="16">
        <v>11.952999999999999</v>
      </c>
      <c r="D520" s="12">
        <v>2</v>
      </c>
      <c r="E520" s="16">
        <v>4.7</v>
      </c>
      <c r="F520" s="16">
        <v>5.9</v>
      </c>
      <c r="G520" s="16">
        <v>11.702999999999999</v>
      </c>
      <c r="H520" s="16">
        <v>0</v>
      </c>
      <c r="I520" s="12">
        <v>0</v>
      </c>
      <c r="L520" s="33">
        <f t="shared" si="8"/>
        <v>0</v>
      </c>
    </row>
    <row r="521" spans="1:12" x14ac:dyDescent="0.25">
      <c r="A521">
        <v>520</v>
      </c>
      <c r="B521" t="s">
        <v>1288</v>
      </c>
      <c r="C521" s="16">
        <v>6.7560000000000002</v>
      </c>
      <c r="D521" s="12">
        <v>1</v>
      </c>
      <c r="E521" s="16">
        <v>4.3</v>
      </c>
      <c r="F521" s="16">
        <v>6</v>
      </c>
      <c r="G521" s="16">
        <v>6.0060000000000002</v>
      </c>
      <c r="H521" s="16">
        <v>0</v>
      </c>
      <c r="I521" s="12">
        <v>0</v>
      </c>
      <c r="L521" s="33">
        <f t="shared" si="8"/>
        <v>0</v>
      </c>
    </row>
    <row r="522" spans="1:12" x14ac:dyDescent="0.25">
      <c r="A522">
        <v>521</v>
      </c>
      <c r="B522" t="s">
        <v>1289</v>
      </c>
      <c r="C522" s="16">
        <v>6.2560000000000002</v>
      </c>
      <c r="D522" s="12">
        <v>1</v>
      </c>
      <c r="E522" s="16">
        <v>3.8</v>
      </c>
      <c r="F522" s="16">
        <v>6</v>
      </c>
      <c r="G522" s="16">
        <v>6.0060000000000002</v>
      </c>
      <c r="H522" s="16">
        <v>0</v>
      </c>
      <c r="I522" s="12">
        <v>0</v>
      </c>
      <c r="L522" s="33">
        <f t="shared" si="8"/>
        <v>0</v>
      </c>
    </row>
    <row r="523" spans="1:12" x14ac:dyDescent="0.25">
      <c r="A523">
        <v>522</v>
      </c>
      <c r="B523" t="s">
        <v>1290</v>
      </c>
      <c r="C523" s="16">
        <v>6.1310000000000002</v>
      </c>
      <c r="D523" s="12">
        <v>1</v>
      </c>
      <c r="E523" s="16">
        <v>3.6</v>
      </c>
      <c r="F523" s="16">
        <v>6</v>
      </c>
      <c r="G523" s="16">
        <v>6.0060000000000002</v>
      </c>
      <c r="H523" s="16">
        <v>0</v>
      </c>
      <c r="I523" s="12">
        <v>0</v>
      </c>
      <c r="L523" s="33">
        <f t="shared" si="8"/>
        <v>0</v>
      </c>
    </row>
    <row r="524" spans="1:12" x14ac:dyDescent="0.25">
      <c r="A524">
        <v>523</v>
      </c>
      <c r="B524" t="s">
        <v>1291</v>
      </c>
      <c r="C524" s="16">
        <v>6.0060000000000002</v>
      </c>
      <c r="D524" s="12">
        <v>1</v>
      </c>
      <c r="E524" s="16">
        <v>3.5</v>
      </c>
      <c r="F524" s="16">
        <v>6</v>
      </c>
      <c r="G524" s="16">
        <v>6.0060000000000002</v>
      </c>
      <c r="H524" s="16">
        <v>0</v>
      </c>
      <c r="I524" s="12">
        <v>0</v>
      </c>
      <c r="L524" s="33">
        <f t="shared" si="8"/>
        <v>0</v>
      </c>
    </row>
    <row r="525" spans="1:12" x14ac:dyDescent="0.25">
      <c r="A525">
        <v>524</v>
      </c>
      <c r="B525" t="s">
        <v>1201</v>
      </c>
      <c r="C525" s="16">
        <v>11.806000000000001</v>
      </c>
      <c r="D525" s="12">
        <v>2</v>
      </c>
      <c r="E525" s="16">
        <v>4.7</v>
      </c>
      <c r="F525" s="16">
        <v>5.4</v>
      </c>
      <c r="G525" s="16">
        <v>10.806000000000001</v>
      </c>
      <c r="H525" s="16">
        <v>0</v>
      </c>
      <c r="I525" s="12">
        <v>0</v>
      </c>
      <c r="L525" s="33">
        <f t="shared" si="8"/>
        <v>0</v>
      </c>
    </row>
    <row r="526" spans="1:12" x14ac:dyDescent="0.25">
      <c r="A526">
        <v>525</v>
      </c>
      <c r="B526" t="s">
        <v>1227</v>
      </c>
      <c r="C526" s="16">
        <v>6.13</v>
      </c>
      <c r="D526" s="12">
        <v>1</v>
      </c>
      <c r="E526" s="16">
        <v>3.6</v>
      </c>
      <c r="F526" s="16">
        <v>6</v>
      </c>
      <c r="G526" s="16">
        <v>6.0049999999999999</v>
      </c>
      <c r="H526" s="16">
        <v>0</v>
      </c>
      <c r="I526" s="12">
        <v>0</v>
      </c>
      <c r="L526" s="33">
        <f t="shared" si="8"/>
        <v>0</v>
      </c>
    </row>
    <row r="527" spans="1:12" x14ac:dyDescent="0.25">
      <c r="A527">
        <v>526</v>
      </c>
      <c r="B527" t="s">
        <v>1228</v>
      </c>
      <c r="C527" s="16">
        <v>6.0049999999999999</v>
      </c>
      <c r="D527" s="12">
        <v>1</v>
      </c>
      <c r="E527" s="16">
        <v>3.5</v>
      </c>
      <c r="F527" s="16">
        <v>6</v>
      </c>
      <c r="G527" s="16">
        <v>6.0049999999999999</v>
      </c>
      <c r="H527" s="16">
        <v>0</v>
      </c>
      <c r="I527" s="12">
        <v>0</v>
      </c>
      <c r="L527" s="33">
        <f t="shared" si="8"/>
        <v>0</v>
      </c>
    </row>
    <row r="528" spans="1:12" x14ac:dyDescent="0.25">
      <c r="A528">
        <v>527</v>
      </c>
      <c r="B528" t="s">
        <v>568</v>
      </c>
      <c r="C528" s="16">
        <v>6.7539999999999996</v>
      </c>
      <c r="D528" s="12">
        <v>1</v>
      </c>
      <c r="E528" s="16">
        <v>4.3</v>
      </c>
      <c r="F528" s="16">
        <v>6</v>
      </c>
      <c r="G528" s="16">
        <v>6.0039999999999996</v>
      </c>
      <c r="H528" s="16">
        <v>0</v>
      </c>
      <c r="I528" s="12">
        <v>0</v>
      </c>
      <c r="L528" s="33">
        <f t="shared" si="8"/>
        <v>0</v>
      </c>
    </row>
    <row r="529" spans="1:12" x14ac:dyDescent="0.25">
      <c r="A529">
        <v>528</v>
      </c>
      <c r="B529" t="s">
        <v>574</v>
      </c>
      <c r="C529" s="16">
        <v>6.2539999999999996</v>
      </c>
      <c r="D529" s="12">
        <v>1</v>
      </c>
      <c r="E529" s="16">
        <v>3.8</v>
      </c>
      <c r="F529" s="16">
        <v>6</v>
      </c>
      <c r="G529" s="16">
        <v>6.0039999999999996</v>
      </c>
      <c r="H529" s="16">
        <v>0</v>
      </c>
      <c r="I529" s="12">
        <v>0</v>
      </c>
      <c r="L529" s="33">
        <f t="shared" si="8"/>
        <v>0</v>
      </c>
    </row>
    <row r="530" spans="1:12" x14ac:dyDescent="0.25">
      <c r="A530">
        <v>529</v>
      </c>
      <c r="B530" t="s">
        <v>676</v>
      </c>
      <c r="C530" s="16">
        <v>6.1289999999999996</v>
      </c>
      <c r="D530" s="12">
        <v>1</v>
      </c>
      <c r="E530" s="16">
        <v>3.6</v>
      </c>
      <c r="F530" s="16">
        <v>6</v>
      </c>
      <c r="G530" s="16">
        <v>6.0039999999999996</v>
      </c>
      <c r="H530" s="16">
        <v>0</v>
      </c>
      <c r="I530" s="12">
        <v>0</v>
      </c>
      <c r="L530" s="33">
        <f t="shared" si="8"/>
        <v>0</v>
      </c>
    </row>
    <row r="531" spans="1:12" x14ac:dyDescent="0.25">
      <c r="A531">
        <v>530</v>
      </c>
      <c r="B531" t="s">
        <v>677</v>
      </c>
      <c r="C531" s="16">
        <v>6.0039999999999996</v>
      </c>
      <c r="D531" s="12">
        <v>1</v>
      </c>
      <c r="E531" s="16">
        <v>3.5</v>
      </c>
      <c r="F531" s="16">
        <v>6</v>
      </c>
      <c r="G531" s="16">
        <v>6.0039999999999996</v>
      </c>
      <c r="H531" s="16">
        <v>0</v>
      </c>
      <c r="I531" s="12">
        <v>0</v>
      </c>
      <c r="L531" s="33">
        <f t="shared" si="8"/>
        <v>0</v>
      </c>
    </row>
    <row r="532" spans="1:12" x14ac:dyDescent="0.25">
      <c r="A532">
        <v>531</v>
      </c>
      <c r="B532" t="s">
        <v>284</v>
      </c>
      <c r="C532" s="16">
        <v>12.003</v>
      </c>
      <c r="D532" s="12">
        <v>2</v>
      </c>
      <c r="E532" s="16">
        <v>4.8</v>
      </c>
      <c r="F532" s="16">
        <v>5.5</v>
      </c>
      <c r="G532" s="16">
        <v>11.003</v>
      </c>
      <c r="H532" s="16">
        <v>0</v>
      </c>
      <c r="I532" s="12">
        <v>0</v>
      </c>
      <c r="L532" s="33">
        <f t="shared" si="8"/>
        <v>0</v>
      </c>
    </row>
    <row r="533" spans="1:12" x14ac:dyDescent="0.25">
      <c r="A533">
        <v>532</v>
      </c>
      <c r="B533" t="s">
        <v>1258</v>
      </c>
      <c r="C533" s="16">
        <v>6.0019999999999998</v>
      </c>
      <c r="D533" s="12">
        <v>1</v>
      </c>
      <c r="E533" s="16">
        <v>3.5</v>
      </c>
      <c r="F533" s="16">
        <v>6</v>
      </c>
      <c r="G533" s="16">
        <v>6.0019999999999998</v>
      </c>
      <c r="H533" s="16">
        <v>0</v>
      </c>
      <c r="I533" s="12">
        <v>0</v>
      </c>
      <c r="L533" s="33">
        <f t="shared" si="8"/>
        <v>0</v>
      </c>
    </row>
    <row r="534" spans="1:12" x14ac:dyDescent="0.25">
      <c r="A534">
        <v>533</v>
      </c>
      <c r="B534" t="s">
        <v>267</v>
      </c>
      <c r="C534" s="16">
        <v>6.1260000000000003</v>
      </c>
      <c r="D534" s="12">
        <v>1</v>
      </c>
      <c r="E534" s="16">
        <v>3.6</v>
      </c>
      <c r="F534" s="16">
        <v>6</v>
      </c>
      <c r="G534" s="16">
        <v>6.0010000000000003</v>
      </c>
      <c r="H534" s="16">
        <v>0</v>
      </c>
      <c r="I534" s="12">
        <v>0</v>
      </c>
      <c r="L534" s="33">
        <f t="shared" si="8"/>
        <v>0</v>
      </c>
    </row>
    <row r="535" spans="1:12" x14ac:dyDescent="0.25">
      <c r="A535">
        <v>534</v>
      </c>
      <c r="B535" t="s">
        <v>268</v>
      </c>
      <c r="C535" s="16">
        <v>6.0010000000000003</v>
      </c>
      <c r="D535" s="12">
        <v>1</v>
      </c>
      <c r="E535" s="16">
        <v>3.5</v>
      </c>
      <c r="F535" s="16">
        <v>6</v>
      </c>
      <c r="G535" s="16">
        <v>6.0010000000000003</v>
      </c>
      <c r="H535" s="16">
        <v>0</v>
      </c>
      <c r="I535" s="12">
        <v>0</v>
      </c>
      <c r="L535" s="33">
        <f t="shared" si="8"/>
        <v>0</v>
      </c>
    </row>
    <row r="536" spans="1:12" x14ac:dyDescent="0.25">
      <c r="A536">
        <v>535</v>
      </c>
      <c r="B536" t="s">
        <v>1089</v>
      </c>
      <c r="C536" s="16">
        <v>18.363</v>
      </c>
      <c r="D536" s="12">
        <v>3</v>
      </c>
      <c r="E536" s="16">
        <v>5.3</v>
      </c>
      <c r="F536" s="16">
        <v>5.7</v>
      </c>
      <c r="G536" s="16">
        <v>17.113</v>
      </c>
      <c r="H536" s="16">
        <v>0</v>
      </c>
      <c r="I536" s="12">
        <v>0</v>
      </c>
      <c r="L536" s="33">
        <f t="shared" si="8"/>
        <v>0</v>
      </c>
    </row>
    <row r="537" spans="1:12" x14ac:dyDescent="0.25">
      <c r="A537">
        <v>536</v>
      </c>
      <c r="B537" t="s">
        <v>1260</v>
      </c>
      <c r="C537" s="16">
        <v>6.0309999999999997</v>
      </c>
      <c r="D537" s="12">
        <v>1</v>
      </c>
      <c r="E537" s="16">
        <v>3.5</v>
      </c>
      <c r="F537" s="16">
        <v>5.9</v>
      </c>
      <c r="G537" s="16">
        <v>5.9059999999999997</v>
      </c>
      <c r="H537" s="16">
        <v>0</v>
      </c>
      <c r="I537" s="12">
        <v>0</v>
      </c>
      <c r="L537" s="33">
        <f t="shared" si="8"/>
        <v>0</v>
      </c>
    </row>
    <row r="538" spans="1:12" x14ac:dyDescent="0.25">
      <c r="A538">
        <v>537</v>
      </c>
      <c r="B538" t="s">
        <v>1262</v>
      </c>
      <c r="C538" s="16">
        <v>5.9059999999999997</v>
      </c>
      <c r="D538" s="12">
        <v>1</v>
      </c>
      <c r="E538" s="16">
        <v>3.4</v>
      </c>
      <c r="F538" s="16">
        <v>5.9</v>
      </c>
      <c r="G538" s="16">
        <v>5.9059999999999997</v>
      </c>
      <c r="H538" s="16">
        <v>0</v>
      </c>
      <c r="I538" s="12">
        <v>0</v>
      </c>
      <c r="L538" s="33">
        <f t="shared" si="8"/>
        <v>0</v>
      </c>
    </row>
    <row r="539" spans="1:12" x14ac:dyDescent="0.25">
      <c r="A539">
        <v>538</v>
      </c>
      <c r="B539" t="s">
        <v>1170</v>
      </c>
      <c r="C539" s="16">
        <v>6.1550000000000002</v>
      </c>
      <c r="D539" s="12">
        <v>1</v>
      </c>
      <c r="E539" s="16">
        <v>3.7</v>
      </c>
      <c r="F539" s="16">
        <v>5.9</v>
      </c>
      <c r="G539" s="16">
        <v>5.9050000000000002</v>
      </c>
      <c r="H539" s="16">
        <v>0</v>
      </c>
      <c r="I539" s="12">
        <v>0</v>
      </c>
      <c r="L539" s="33">
        <f t="shared" si="8"/>
        <v>0</v>
      </c>
    </row>
    <row r="540" spans="1:12" x14ac:dyDescent="0.25">
      <c r="A540">
        <v>539</v>
      </c>
      <c r="B540" t="s">
        <v>1171</v>
      </c>
      <c r="C540" s="16">
        <v>6.03</v>
      </c>
      <c r="D540" s="12">
        <v>1</v>
      </c>
      <c r="E540" s="16">
        <v>3.5</v>
      </c>
      <c r="F540" s="16">
        <v>5.9</v>
      </c>
      <c r="G540" s="16">
        <v>5.9050000000000002</v>
      </c>
      <c r="H540" s="16">
        <v>0</v>
      </c>
      <c r="I540" s="12">
        <v>0</v>
      </c>
      <c r="L540" s="33">
        <f t="shared" si="8"/>
        <v>0</v>
      </c>
    </row>
    <row r="541" spans="1:12" x14ac:dyDescent="0.25">
      <c r="A541">
        <v>540</v>
      </c>
      <c r="B541" t="s">
        <v>420</v>
      </c>
      <c r="C541" s="16">
        <v>8.73</v>
      </c>
      <c r="D541" s="12">
        <v>2</v>
      </c>
      <c r="E541" s="16">
        <v>3.1</v>
      </c>
      <c r="F541" s="16">
        <v>4.3</v>
      </c>
      <c r="G541" s="16">
        <v>8.6050000000000004</v>
      </c>
      <c r="H541" s="16">
        <v>0</v>
      </c>
      <c r="I541" s="12">
        <v>0</v>
      </c>
      <c r="L541" s="33">
        <f t="shared" si="8"/>
        <v>0</v>
      </c>
    </row>
    <row r="542" spans="1:12" x14ac:dyDescent="0.25">
      <c r="A542">
        <v>541</v>
      </c>
      <c r="B542" t="s">
        <v>763</v>
      </c>
      <c r="C542" s="16">
        <v>6.1539999999999999</v>
      </c>
      <c r="D542" s="12">
        <v>1</v>
      </c>
      <c r="E542" s="16">
        <v>3.7</v>
      </c>
      <c r="F542" s="16">
        <v>5.9</v>
      </c>
      <c r="G542" s="16">
        <v>5.9039999999999999</v>
      </c>
      <c r="H542" s="16">
        <v>0</v>
      </c>
      <c r="I542" s="12">
        <v>0</v>
      </c>
      <c r="L542" s="33">
        <f t="shared" si="8"/>
        <v>0</v>
      </c>
    </row>
    <row r="543" spans="1:12" x14ac:dyDescent="0.25">
      <c r="A543">
        <v>542</v>
      </c>
      <c r="B543" t="s">
        <v>785</v>
      </c>
      <c r="C543" s="16">
        <v>6.0289999999999999</v>
      </c>
      <c r="D543" s="12">
        <v>1</v>
      </c>
      <c r="E543" s="16">
        <v>3.5</v>
      </c>
      <c r="F543" s="16">
        <v>5.9</v>
      </c>
      <c r="G543" s="16">
        <v>5.9039999999999999</v>
      </c>
      <c r="H543" s="16">
        <v>0</v>
      </c>
      <c r="I543" s="12">
        <v>0</v>
      </c>
      <c r="L543" s="33">
        <f t="shared" si="8"/>
        <v>0</v>
      </c>
    </row>
    <row r="544" spans="1:12" x14ac:dyDescent="0.25">
      <c r="A544">
        <v>543</v>
      </c>
      <c r="B544" t="s">
        <v>769</v>
      </c>
      <c r="C544" s="16">
        <v>5.9039999999999999</v>
      </c>
      <c r="D544" s="12">
        <v>1</v>
      </c>
      <c r="E544" s="16">
        <v>3.4</v>
      </c>
      <c r="F544" s="16">
        <v>5.9</v>
      </c>
      <c r="G544" s="16">
        <v>5.9039999999999999</v>
      </c>
      <c r="H544" s="16">
        <v>0</v>
      </c>
      <c r="I544" s="12">
        <v>0</v>
      </c>
      <c r="L544" s="33">
        <f t="shared" si="8"/>
        <v>0</v>
      </c>
    </row>
    <row r="545" spans="1:12" x14ac:dyDescent="0.25">
      <c r="A545">
        <v>544</v>
      </c>
      <c r="B545" t="s">
        <v>897</v>
      </c>
      <c r="C545" s="16">
        <v>5.9029999999999996</v>
      </c>
      <c r="D545" s="12">
        <v>1</v>
      </c>
      <c r="E545" s="16">
        <v>3.4</v>
      </c>
      <c r="F545" s="16">
        <v>5.9</v>
      </c>
      <c r="G545" s="16">
        <v>5.9029999999999996</v>
      </c>
      <c r="H545" s="16">
        <v>0</v>
      </c>
      <c r="I545" s="12">
        <v>0</v>
      </c>
      <c r="L545" s="33">
        <f t="shared" si="8"/>
        <v>0</v>
      </c>
    </row>
    <row r="546" spans="1:12" x14ac:dyDescent="0.25">
      <c r="A546">
        <v>545</v>
      </c>
      <c r="B546" t="s">
        <v>997</v>
      </c>
      <c r="C546" s="16">
        <v>6.1520000000000001</v>
      </c>
      <c r="D546" s="12">
        <v>1</v>
      </c>
      <c r="E546" s="16">
        <v>3.7</v>
      </c>
      <c r="F546" s="16">
        <v>5.9</v>
      </c>
      <c r="G546" s="16">
        <v>5.9020000000000001</v>
      </c>
      <c r="H546" s="16">
        <v>0</v>
      </c>
      <c r="I546" s="12">
        <v>0</v>
      </c>
      <c r="L546" s="33">
        <f t="shared" si="8"/>
        <v>0</v>
      </c>
    </row>
    <row r="547" spans="1:12" x14ac:dyDescent="0.25">
      <c r="A547">
        <v>546</v>
      </c>
      <c r="B547" t="s">
        <v>590</v>
      </c>
      <c r="C547" s="16">
        <v>6.0270000000000001</v>
      </c>
      <c r="D547" s="12">
        <v>1</v>
      </c>
      <c r="E547" s="16">
        <v>3.5</v>
      </c>
      <c r="F547" s="16">
        <v>5.9</v>
      </c>
      <c r="G547" s="16">
        <v>5.9020000000000001</v>
      </c>
      <c r="H547" s="16">
        <v>0</v>
      </c>
      <c r="I547" s="12">
        <v>0</v>
      </c>
      <c r="L547" s="33">
        <f t="shared" si="8"/>
        <v>0</v>
      </c>
    </row>
    <row r="548" spans="1:12" x14ac:dyDescent="0.25">
      <c r="A548">
        <v>547</v>
      </c>
      <c r="B548" t="s">
        <v>1132</v>
      </c>
      <c r="C548" s="16">
        <v>5.9020000000000001</v>
      </c>
      <c r="D548" s="12">
        <v>1</v>
      </c>
      <c r="E548" s="16">
        <v>3.4</v>
      </c>
      <c r="F548" s="16">
        <v>5.9</v>
      </c>
      <c r="G548" s="16">
        <v>5.9020000000000001</v>
      </c>
      <c r="H548" s="16">
        <v>0</v>
      </c>
      <c r="I548" s="12">
        <v>0</v>
      </c>
      <c r="L548" s="33">
        <f t="shared" si="8"/>
        <v>0</v>
      </c>
    </row>
    <row r="549" spans="1:12" x14ac:dyDescent="0.25">
      <c r="A549">
        <v>548</v>
      </c>
      <c r="B549" t="s">
        <v>1199</v>
      </c>
      <c r="C549" s="16">
        <v>6.0259999999999998</v>
      </c>
      <c r="D549" s="12">
        <v>1</v>
      </c>
      <c r="E549" s="16">
        <v>3.5</v>
      </c>
      <c r="F549" s="16">
        <v>5.9</v>
      </c>
      <c r="G549" s="16">
        <v>5.9009999999999998</v>
      </c>
      <c r="H549" s="16">
        <v>0</v>
      </c>
      <c r="I549" s="12">
        <v>0</v>
      </c>
      <c r="L549" s="33">
        <f t="shared" si="8"/>
        <v>0</v>
      </c>
    </row>
    <row r="550" spans="1:12" x14ac:dyDescent="0.25">
      <c r="A550">
        <v>549</v>
      </c>
      <c r="B550" t="s">
        <v>466</v>
      </c>
      <c r="C550" s="16">
        <v>6.056</v>
      </c>
      <c r="D550" s="12">
        <v>1</v>
      </c>
      <c r="E550" s="16">
        <v>3.6</v>
      </c>
      <c r="F550" s="16">
        <v>5.8</v>
      </c>
      <c r="G550" s="16">
        <v>5.806</v>
      </c>
      <c r="H550" s="16">
        <v>0</v>
      </c>
      <c r="I550" s="12">
        <v>0</v>
      </c>
      <c r="L550" s="33">
        <f t="shared" si="8"/>
        <v>0</v>
      </c>
    </row>
    <row r="551" spans="1:12" x14ac:dyDescent="0.25">
      <c r="A551">
        <v>550</v>
      </c>
      <c r="B551" t="s">
        <v>467</v>
      </c>
      <c r="C551" s="16">
        <v>5.931</v>
      </c>
      <c r="D551" s="12">
        <v>1</v>
      </c>
      <c r="E551" s="16">
        <v>3.4</v>
      </c>
      <c r="F551" s="16">
        <v>5.8</v>
      </c>
      <c r="G551" s="16">
        <v>5.806</v>
      </c>
      <c r="H551" s="16">
        <v>0</v>
      </c>
      <c r="I551" s="12">
        <v>0</v>
      </c>
      <c r="L551" s="33">
        <f t="shared" si="8"/>
        <v>0</v>
      </c>
    </row>
    <row r="552" spans="1:12" x14ac:dyDescent="0.25">
      <c r="A552">
        <v>551</v>
      </c>
      <c r="B552" t="s">
        <v>468</v>
      </c>
      <c r="C552" s="16">
        <v>5.806</v>
      </c>
      <c r="D552" s="12">
        <v>1</v>
      </c>
      <c r="E552" s="16">
        <v>3.3</v>
      </c>
      <c r="F552" s="16">
        <v>5.8</v>
      </c>
      <c r="G552" s="16">
        <v>5.806</v>
      </c>
      <c r="H552" s="16">
        <v>0</v>
      </c>
      <c r="I552" s="12">
        <v>0</v>
      </c>
      <c r="L552" s="33">
        <f t="shared" si="8"/>
        <v>0</v>
      </c>
    </row>
    <row r="553" spans="1:12" x14ac:dyDescent="0.25">
      <c r="A553">
        <v>552</v>
      </c>
      <c r="B553" t="s">
        <v>1143</v>
      </c>
      <c r="C553" s="16">
        <v>5.8049999999999997</v>
      </c>
      <c r="D553" s="12">
        <v>1</v>
      </c>
      <c r="E553" s="16">
        <v>3.3</v>
      </c>
      <c r="F553" s="16">
        <v>5.8</v>
      </c>
      <c r="G553" s="16">
        <v>5.8049999999999997</v>
      </c>
      <c r="H553" s="16">
        <v>0</v>
      </c>
      <c r="I553" s="12">
        <v>0</v>
      </c>
      <c r="L553" s="33">
        <f t="shared" si="8"/>
        <v>0</v>
      </c>
    </row>
    <row r="554" spans="1:12" x14ac:dyDescent="0.25">
      <c r="A554">
        <v>553</v>
      </c>
      <c r="B554" t="s">
        <v>1232</v>
      </c>
      <c r="C554" s="16">
        <v>5.8040000000000003</v>
      </c>
      <c r="D554" s="12">
        <v>1</v>
      </c>
      <c r="E554" s="16">
        <v>3.3</v>
      </c>
      <c r="F554" s="16">
        <v>5.8</v>
      </c>
      <c r="G554" s="16">
        <v>5.8040000000000003</v>
      </c>
      <c r="H554" s="16">
        <v>0</v>
      </c>
      <c r="I554" s="12">
        <v>0</v>
      </c>
      <c r="L554" s="33">
        <f t="shared" si="8"/>
        <v>0</v>
      </c>
    </row>
    <row r="555" spans="1:12" x14ac:dyDescent="0.25">
      <c r="A555">
        <v>554</v>
      </c>
      <c r="B555" t="s">
        <v>453</v>
      </c>
      <c r="C555" s="16">
        <v>5.8019999999999996</v>
      </c>
      <c r="D555" s="12">
        <v>1</v>
      </c>
      <c r="E555" s="16">
        <v>3.3</v>
      </c>
      <c r="F555" s="16">
        <v>5.8</v>
      </c>
      <c r="G555" s="16">
        <v>5.8019999999999996</v>
      </c>
      <c r="H555" s="16">
        <v>0</v>
      </c>
      <c r="I555" s="12">
        <v>0</v>
      </c>
      <c r="L555" s="33">
        <f t="shared" si="8"/>
        <v>0</v>
      </c>
    </row>
    <row r="556" spans="1:12" x14ac:dyDescent="0.25">
      <c r="A556">
        <v>555</v>
      </c>
      <c r="B556" t="s">
        <v>511</v>
      </c>
      <c r="C556" s="16">
        <v>5.8010000000000002</v>
      </c>
      <c r="D556" s="12">
        <v>1</v>
      </c>
      <c r="E556" s="16">
        <v>3.3</v>
      </c>
      <c r="F556" s="16">
        <v>5.8</v>
      </c>
      <c r="G556" s="16">
        <v>5.8010000000000002</v>
      </c>
      <c r="H556" s="16">
        <v>0</v>
      </c>
      <c r="I556" s="12">
        <v>0</v>
      </c>
      <c r="L556" s="33">
        <f t="shared" si="8"/>
        <v>0</v>
      </c>
    </row>
    <row r="557" spans="1:12" x14ac:dyDescent="0.25">
      <c r="A557">
        <v>556</v>
      </c>
      <c r="B557" t="s">
        <v>1200</v>
      </c>
      <c r="C557" s="16">
        <v>12.206</v>
      </c>
      <c r="D557" s="12">
        <v>2</v>
      </c>
      <c r="E557" s="16">
        <v>4.9000000000000004</v>
      </c>
      <c r="F557" s="16">
        <v>5.4</v>
      </c>
      <c r="G557" s="16">
        <v>10.706</v>
      </c>
      <c r="H557" s="16">
        <v>0</v>
      </c>
      <c r="I557" s="12">
        <v>0</v>
      </c>
      <c r="L557" s="33">
        <f t="shared" si="8"/>
        <v>0</v>
      </c>
    </row>
    <row r="558" spans="1:12" x14ac:dyDescent="0.25">
      <c r="A558">
        <v>557</v>
      </c>
      <c r="B558" t="s">
        <v>362</v>
      </c>
      <c r="C558" s="16">
        <v>5.9530000000000003</v>
      </c>
      <c r="D558" s="12">
        <v>1</v>
      </c>
      <c r="E558" s="16">
        <v>3.5</v>
      </c>
      <c r="F558" s="16">
        <v>5.7</v>
      </c>
      <c r="G558" s="16">
        <v>5.7030000000000003</v>
      </c>
      <c r="H558" s="16">
        <v>0</v>
      </c>
      <c r="I558" s="12">
        <v>0</v>
      </c>
      <c r="L558" s="33">
        <f t="shared" si="8"/>
        <v>0</v>
      </c>
    </row>
    <row r="559" spans="1:12" x14ac:dyDescent="0.25">
      <c r="A559">
        <v>558</v>
      </c>
      <c r="B559" t="s">
        <v>363</v>
      </c>
      <c r="C559" s="16">
        <v>5.8280000000000003</v>
      </c>
      <c r="D559" s="12">
        <v>1</v>
      </c>
      <c r="E559" s="16">
        <v>3.3</v>
      </c>
      <c r="F559" s="16">
        <v>5.7</v>
      </c>
      <c r="G559" s="16">
        <v>5.7030000000000003</v>
      </c>
      <c r="H559" s="16">
        <v>0</v>
      </c>
      <c r="I559" s="12">
        <v>0</v>
      </c>
      <c r="L559" s="33">
        <f t="shared" si="8"/>
        <v>0</v>
      </c>
    </row>
    <row r="560" spans="1:12" x14ac:dyDescent="0.25">
      <c r="A560">
        <v>559</v>
      </c>
      <c r="B560" t="s">
        <v>797</v>
      </c>
      <c r="C560" s="16">
        <v>5.7009999999999996</v>
      </c>
      <c r="D560" s="12">
        <v>1</v>
      </c>
      <c r="E560" s="16">
        <v>3.2</v>
      </c>
      <c r="F560" s="16">
        <v>5.7</v>
      </c>
      <c r="G560" s="16">
        <v>5.7009999999999996</v>
      </c>
      <c r="H560" s="16">
        <v>0</v>
      </c>
      <c r="I560" s="12">
        <v>0</v>
      </c>
      <c r="L560" s="33">
        <f t="shared" si="8"/>
        <v>0</v>
      </c>
    </row>
    <row r="561" spans="1:12" x14ac:dyDescent="0.25">
      <c r="A561">
        <v>560</v>
      </c>
      <c r="B561" t="s">
        <v>447</v>
      </c>
      <c r="C561" s="16">
        <v>6.3529999999999998</v>
      </c>
      <c r="D561" s="12">
        <v>1</v>
      </c>
      <c r="E561" s="16">
        <v>3.9</v>
      </c>
      <c r="F561" s="16">
        <v>5.6</v>
      </c>
      <c r="G561" s="16">
        <v>5.6029999999999998</v>
      </c>
      <c r="H561" s="16">
        <v>0</v>
      </c>
      <c r="I561" s="12">
        <v>0</v>
      </c>
      <c r="L561" s="33">
        <f t="shared" si="8"/>
        <v>0</v>
      </c>
    </row>
    <row r="562" spans="1:12" x14ac:dyDescent="0.25">
      <c r="A562">
        <v>561</v>
      </c>
      <c r="B562" t="s">
        <v>448</v>
      </c>
      <c r="C562" s="16">
        <v>5.6029999999999998</v>
      </c>
      <c r="D562" s="12">
        <v>1</v>
      </c>
      <c r="E562" s="16">
        <v>3.1</v>
      </c>
      <c r="F562" s="16">
        <v>5.6</v>
      </c>
      <c r="G562" s="16">
        <v>5.6029999999999998</v>
      </c>
      <c r="H562" s="16">
        <v>0</v>
      </c>
      <c r="I562" s="12">
        <v>0</v>
      </c>
      <c r="L562" s="33">
        <f t="shared" si="8"/>
        <v>0</v>
      </c>
    </row>
    <row r="563" spans="1:12" x14ac:dyDescent="0.25">
      <c r="A563">
        <v>562</v>
      </c>
      <c r="B563" t="s">
        <v>379</v>
      </c>
      <c r="C563" s="16">
        <v>5.851</v>
      </c>
      <c r="D563" s="12">
        <v>1</v>
      </c>
      <c r="E563" s="16">
        <v>3.4</v>
      </c>
      <c r="F563" s="16">
        <v>5.6</v>
      </c>
      <c r="G563" s="16">
        <v>5.601</v>
      </c>
      <c r="H563" s="16">
        <v>0</v>
      </c>
      <c r="I563" s="12">
        <v>0</v>
      </c>
      <c r="L563" s="33">
        <f t="shared" si="8"/>
        <v>0</v>
      </c>
    </row>
    <row r="564" spans="1:12" x14ac:dyDescent="0.25">
      <c r="A564">
        <v>563</v>
      </c>
      <c r="B564" t="s">
        <v>380</v>
      </c>
      <c r="C564" s="16">
        <v>5.726</v>
      </c>
      <c r="D564" s="12">
        <v>1</v>
      </c>
      <c r="E564" s="16">
        <v>3.2</v>
      </c>
      <c r="F564" s="16">
        <v>5.6</v>
      </c>
      <c r="G564" s="16">
        <v>5.601</v>
      </c>
      <c r="H564" s="16">
        <v>0</v>
      </c>
      <c r="I564" s="12">
        <v>0</v>
      </c>
      <c r="L564" s="33">
        <f t="shared" si="8"/>
        <v>0</v>
      </c>
    </row>
    <row r="565" spans="1:12" x14ac:dyDescent="0.25">
      <c r="A565">
        <v>564</v>
      </c>
      <c r="B565" t="s">
        <v>381</v>
      </c>
      <c r="C565" s="16">
        <v>5.601</v>
      </c>
      <c r="D565" s="12">
        <v>1</v>
      </c>
      <c r="E565" s="16">
        <v>3.1</v>
      </c>
      <c r="F565" s="16">
        <v>5.6</v>
      </c>
      <c r="G565" s="16">
        <v>5.601</v>
      </c>
      <c r="H565" s="16">
        <v>0</v>
      </c>
      <c r="I565" s="12">
        <v>0</v>
      </c>
      <c r="L565" s="33">
        <f t="shared" si="8"/>
        <v>0</v>
      </c>
    </row>
    <row r="566" spans="1:12" x14ac:dyDescent="0.25">
      <c r="A566">
        <v>565</v>
      </c>
      <c r="B566" t="s">
        <v>856</v>
      </c>
      <c r="C566" s="16">
        <v>5.7530000000000001</v>
      </c>
      <c r="D566" s="12">
        <v>1</v>
      </c>
      <c r="E566" s="16">
        <v>3.3</v>
      </c>
      <c r="F566" s="16">
        <v>5.5</v>
      </c>
      <c r="G566" s="16">
        <v>5.5030000000000001</v>
      </c>
      <c r="H566" s="16">
        <v>0</v>
      </c>
      <c r="I566" s="12">
        <v>0</v>
      </c>
      <c r="L566" s="33">
        <f t="shared" si="8"/>
        <v>0</v>
      </c>
    </row>
    <row r="567" spans="1:12" x14ac:dyDescent="0.25">
      <c r="A567">
        <v>566</v>
      </c>
      <c r="B567" t="s">
        <v>538</v>
      </c>
      <c r="C567" s="16">
        <v>5.6280000000000001</v>
      </c>
      <c r="D567" s="12">
        <v>1</v>
      </c>
      <c r="E567" s="16">
        <v>3.1</v>
      </c>
      <c r="F567" s="16">
        <v>5.5</v>
      </c>
      <c r="G567" s="16">
        <v>5.5030000000000001</v>
      </c>
      <c r="H567" s="16">
        <v>0</v>
      </c>
      <c r="I567" s="12">
        <v>0</v>
      </c>
      <c r="L567" s="33">
        <f t="shared" si="8"/>
        <v>0</v>
      </c>
    </row>
    <row r="568" spans="1:12" x14ac:dyDescent="0.25">
      <c r="A568">
        <v>567</v>
      </c>
      <c r="B568" t="s">
        <v>887</v>
      </c>
      <c r="C568" s="16">
        <v>5.5030000000000001</v>
      </c>
      <c r="D568" s="12">
        <v>1</v>
      </c>
      <c r="E568" s="16">
        <v>3</v>
      </c>
      <c r="F568" s="16">
        <v>5.5</v>
      </c>
      <c r="G568" s="16">
        <v>5.5030000000000001</v>
      </c>
      <c r="H568" s="16">
        <v>0</v>
      </c>
      <c r="I568" s="12">
        <v>0</v>
      </c>
      <c r="L568" s="33">
        <f t="shared" si="8"/>
        <v>0</v>
      </c>
    </row>
    <row r="569" spans="1:12" x14ac:dyDescent="0.25">
      <c r="A569">
        <v>568</v>
      </c>
      <c r="B569" t="s">
        <v>1090</v>
      </c>
      <c r="C569" s="16">
        <v>5.6539999999999999</v>
      </c>
      <c r="D569" s="12">
        <v>1</v>
      </c>
      <c r="E569" s="16">
        <v>3.2</v>
      </c>
      <c r="F569" s="16">
        <v>5.4</v>
      </c>
      <c r="G569" s="16">
        <v>5.4039999999999999</v>
      </c>
      <c r="H569" s="16">
        <v>0</v>
      </c>
      <c r="I569" s="12">
        <v>0</v>
      </c>
      <c r="L569" s="33">
        <f t="shared" si="8"/>
        <v>0</v>
      </c>
    </row>
    <row r="570" spans="1:12" x14ac:dyDescent="0.25">
      <c r="A570">
        <v>569</v>
      </c>
      <c r="B570" t="s">
        <v>1091</v>
      </c>
      <c r="C570" s="16">
        <v>5.5289999999999999</v>
      </c>
      <c r="D570" s="12">
        <v>1</v>
      </c>
      <c r="E570" s="16">
        <v>3</v>
      </c>
      <c r="F570" s="16">
        <v>5.4</v>
      </c>
      <c r="G570" s="16">
        <v>5.4039999999999999</v>
      </c>
      <c r="H570" s="16">
        <v>0</v>
      </c>
      <c r="I570" s="12">
        <v>0</v>
      </c>
      <c r="L570" s="33">
        <f t="shared" si="8"/>
        <v>0</v>
      </c>
    </row>
    <row r="571" spans="1:12" x14ac:dyDescent="0.25">
      <c r="A571">
        <v>570</v>
      </c>
      <c r="B571" t="s">
        <v>1092</v>
      </c>
      <c r="C571" s="16">
        <v>5.4039999999999999</v>
      </c>
      <c r="D571" s="12">
        <v>1</v>
      </c>
      <c r="E571" s="16">
        <v>2.9</v>
      </c>
      <c r="F571" s="16">
        <v>5.4</v>
      </c>
      <c r="G571" s="16">
        <v>5.4039999999999999</v>
      </c>
      <c r="H571" s="16">
        <v>0</v>
      </c>
      <c r="I571" s="12">
        <v>0</v>
      </c>
      <c r="L571" s="33">
        <f t="shared" si="8"/>
        <v>0</v>
      </c>
    </row>
    <row r="572" spans="1:12" x14ac:dyDescent="0.25">
      <c r="A572">
        <v>571</v>
      </c>
      <c r="B572" t="s">
        <v>218</v>
      </c>
      <c r="C572" s="16">
        <v>5.5289999999999999</v>
      </c>
      <c r="D572" s="12">
        <v>1</v>
      </c>
      <c r="E572" s="16">
        <v>3</v>
      </c>
      <c r="F572" s="16">
        <v>5.4</v>
      </c>
      <c r="G572" s="16">
        <v>5.4039999999999999</v>
      </c>
      <c r="H572" s="16">
        <v>0</v>
      </c>
      <c r="I572" s="12">
        <v>0</v>
      </c>
      <c r="L572" s="33">
        <f t="shared" si="8"/>
        <v>0</v>
      </c>
    </row>
    <row r="573" spans="1:12" x14ac:dyDescent="0.25">
      <c r="A573">
        <v>572</v>
      </c>
      <c r="B573" t="s">
        <v>115</v>
      </c>
      <c r="C573" s="16">
        <v>10.606</v>
      </c>
      <c r="D573" s="12">
        <v>2</v>
      </c>
      <c r="E573" s="16">
        <v>4.0999999999999996</v>
      </c>
      <c r="F573" s="16">
        <v>5.3</v>
      </c>
      <c r="G573" s="16">
        <v>10.606</v>
      </c>
      <c r="H573" s="16">
        <v>0</v>
      </c>
      <c r="I573" s="12">
        <v>0</v>
      </c>
      <c r="L573" s="33">
        <f t="shared" si="8"/>
        <v>0</v>
      </c>
    </row>
    <row r="574" spans="1:12" x14ac:dyDescent="0.25">
      <c r="A574">
        <v>573</v>
      </c>
      <c r="B574" t="s">
        <v>771</v>
      </c>
      <c r="C574" s="16">
        <v>5.6529999999999996</v>
      </c>
      <c r="D574" s="12">
        <v>1</v>
      </c>
      <c r="E574" s="16">
        <v>3.2</v>
      </c>
      <c r="F574" s="16">
        <v>5.4</v>
      </c>
      <c r="G574" s="16">
        <v>5.4029999999999996</v>
      </c>
      <c r="H574" s="16">
        <v>0</v>
      </c>
      <c r="I574" s="12">
        <v>0</v>
      </c>
      <c r="L574" s="33">
        <f t="shared" si="8"/>
        <v>0</v>
      </c>
    </row>
    <row r="575" spans="1:12" x14ac:dyDescent="0.25">
      <c r="A575">
        <v>574</v>
      </c>
      <c r="B575" t="s">
        <v>891</v>
      </c>
      <c r="C575" s="16">
        <v>5.5279999999999996</v>
      </c>
      <c r="D575" s="12">
        <v>1</v>
      </c>
      <c r="E575" s="16">
        <v>3</v>
      </c>
      <c r="F575" s="16">
        <v>5.4</v>
      </c>
      <c r="G575" s="16">
        <v>5.4029999999999996</v>
      </c>
      <c r="H575" s="16">
        <v>0</v>
      </c>
      <c r="I575" s="12">
        <v>0</v>
      </c>
      <c r="L575" s="33">
        <f t="shared" si="8"/>
        <v>0</v>
      </c>
    </row>
    <row r="576" spans="1:12" x14ac:dyDescent="0.25">
      <c r="A576">
        <v>575</v>
      </c>
      <c r="B576" t="s">
        <v>892</v>
      </c>
      <c r="C576" s="16">
        <v>5.4029999999999996</v>
      </c>
      <c r="D576" s="12">
        <v>1</v>
      </c>
      <c r="E576" s="16">
        <v>2.9</v>
      </c>
      <c r="F576" s="16">
        <v>5.4</v>
      </c>
      <c r="G576" s="16">
        <v>5.4029999999999996</v>
      </c>
      <c r="H576" s="16">
        <v>0</v>
      </c>
      <c r="I576" s="12">
        <v>0</v>
      </c>
      <c r="L576" s="33">
        <f t="shared" si="8"/>
        <v>0</v>
      </c>
    </row>
    <row r="577" spans="1:12" x14ac:dyDescent="0.25">
      <c r="A577">
        <v>576</v>
      </c>
      <c r="B577" t="s">
        <v>112</v>
      </c>
      <c r="C577" s="16">
        <v>5.5270000000000001</v>
      </c>
      <c r="D577" s="12">
        <v>1</v>
      </c>
      <c r="E577" s="16">
        <v>3</v>
      </c>
      <c r="F577" s="16">
        <v>5.4</v>
      </c>
      <c r="G577" s="16">
        <v>5.4020000000000001</v>
      </c>
      <c r="H577" s="16">
        <v>0</v>
      </c>
      <c r="I577" s="12">
        <v>0</v>
      </c>
      <c r="L577" s="33">
        <f t="shared" si="8"/>
        <v>0</v>
      </c>
    </row>
    <row r="578" spans="1:12" x14ac:dyDescent="0.25">
      <c r="A578">
        <v>577</v>
      </c>
      <c r="B578" t="s">
        <v>320</v>
      </c>
      <c r="C578" s="16">
        <v>5.4020000000000001</v>
      </c>
      <c r="D578" s="12">
        <v>1</v>
      </c>
      <c r="E578" s="16">
        <v>2.9</v>
      </c>
      <c r="F578" s="16">
        <v>5.4</v>
      </c>
      <c r="G578" s="16">
        <v>5.4020000000000001</v>
      </c>
      <c r="H578" s="16">
        <v>0</v>
      </c>
      <c r="I578" s="12">
        <v>0</v>
      </c>
      <c r="L578" s="33">
        <f t="shared" ref="L578:L641" si="9">I578/D578</f>
        <v>0</v>
      </c>
    </row>
    <row r="579" spans="1:12" x14ac:dyDescent="0.25">
      <c r="A579">
        <v>578</v>
      </c>
      <c r="B579" t="s">
        <v>188</v>
      </c>
      <c r="C579" s="16">
        <v>5.4009999999999998</v>
      </c>
      <c r="D579" s="12">
        <v>1</v>
      </c>
      <c r="E579" s="16">
        <v>2.9</v>
      </c>
      <c r="F579" s="16">
        <v>5.4</v>
      </c>
      <c r="G579" s="16">
        <v>5.4009999999999998</v>
      </c>
      <c r="H579" s="16">
        <v>0</v>
      </c>
      <c r="I579" s="12">
        <v>0</v>
      </c>
      <c r="L579" s="33">
        <f t="shared" si="9"/>
        <v>0</v>
      </c>
    </row>
    <row r="580" spans="1:12" x14ac:dyDescent="0.25">
      <c r="A580">
        <v>579</v>
      </c>
      <c r="B580" t="s">
        <v>977</v>
      </c>
      <c r="C580" s="16">
        <v>10.780000000000001</v>
      </c>
      <c r="D580" s="12">
        <v>2</v>
      </c>
      <c r="E580" s="16">
        <v>4.0999999999999996</v>
      </c>
      <c r="F580" s="16">
        <v>5</v>
      </c>
      <c r="G580" s="16">
        <v>9.9050000000000011</v>
      </c>
      <c r="H580" s="16">
        <v>0</v>
      </c>
      <c r="I580" s="12">
        <v>0</v>
      </c>
      <c r="L580" s="33">
        <f t="shared" si="9"/>
        <v>0</v>
      </c>
    </row>
    <row r="581" spans="1:12" x14ac:dyDescent="0.25">
      <c r="A581">
        <v>580</v>
      </c>
      <c r="B581" t="s">
        <v>978</v>
      </c>
      <c r="C581" s="16">
        <v>5.3029999999999999</v>
      </c>
      <c r="D581" s="12">
        <v>1</v>
      </c>
      <c r="E581" s="16">
        <v>2.8</v>
      </c>
      <c r="F581" s="16">
        <v>5.3</v>
      </c>
      <c r="G581" s="16">
        <v>5.3029999999999999</v>
      </c>
      <c r="H581" s="16">
        <v>0</v>
      </c>
      <c r="I581" s="12">
        <v>0</v>
      </c>
      <c r="L581" s="33">
        <f t="shared" si="9"/>
        <v>0</v>
      </c>
    </row>
    <row r="582" spans="1:12" x14ac:dyDescent="0.25">
      <c r="A582">
        <v>581</v>
      </c>
      <c r="B582" t="s">
        <v>795</v>
      </c>
      <c r="C582" s="16">
        <v>5.4269999999999996</v>
      </c>
      <c r="D582" s="12">
        <v>1</v>
      </c>
      <c r="E582" s="16">
        <v>2.9</v>
      </c>
      <c r="F582" s="16">
        <v>5.3</v>
      </c>
      <c r="G582" s="16">
        <v>5.3019999999999996</v>
      </c>
      <c r="H582" s="16">
        <v>0</v>
      </c>
      <c r="I582" s="12">
        <v>0</v>
      </c>
      <c r="L582" s="33">
        <f t="shared" si="9"/>
        <v>0</v>
      </c>
    </row>
    <row r="583" spans="1:12" x14ac:dyDescent="0.25">
      <c r="A583">
        <v>582</v>
      </c>
      <c r="B583" t="s">
        <v>858</v>
      </c>
      <c r="C583" s="16">
        <v>5.3019999999999996</v>
      </c>
      <c r="D583" s="12">
        <v>1</v>
      </c>
      <c r="E583" s="16">
        <v>2.8</v>
      </c>
      <c r="F583" s="16">
        <v>5.3</v>
      </c>
      <c r="G583" s="16">
        <v>5.3019999999999996</v>
      </c>
      <c r="H583" s="16">
        <v>0</v>
      </c>
      <c r="I583" s="12">
        <v>0</v>
      </c>
      <c r="L583" s="33">
        <f t="shared" si="9"/>
        <v>0</v>
      </c>
    </row>
    <row r="584" spans="1:12" x14ac:dyDescent="0.25">
      <c r="A584">
        <v>583</v>
      </c>
      <c r="B584" t="s">
        <v>852</v>
      </c>
      <c r="C584" s="16">
        <v>5.5510000000000002</v>
      </c>
      <c r="D584" s="12">
        <v>1</v>
      </c>
      <c r="E584" s="16">
        <v>3.1</v>
      </c>
      <c r="F584" s="16">
        <v>5.3</v>
      </c>
      <c r="G584" s="16">
        <v>5.3010000000000002</v>
      </c>
      <c r="H584" s="16">
        <v>0</v>
      </c>
      <c r="I584" s="12">
        <v>0</v>
      </c>
      <c r="L584" s="33">
        <f t="shared" si="9"/>
        <v>0</v>
      </c>
    </row>
    <row r="585" spans="1:12" x14ac:dyDescent="0.25">
      <c r="A585">
        <v>584</v>
      </c>
      <c r="B585" t="s">
        <v>853</v>
      </c>
      <c r="C585" s="16">
        <v>5.4260000000000002</v>
      </c>
      <c r="D585" s="12">
        <v>1</v>
      </c>
      <c r="E585" s="16">
        <v>2.9</v>
      </c>
      <c r="F585" s="16">
        <v>5.3</v>
      </c>
      <c r="G585" s="16">
        <v>5.3010000000000002</v>
      </c>
      <c r="H585" s="16">
        <v>0</v>
      </c>
      <c r="I585" s="12">
        <v>0</v>
      </c>
      <c r="L585" s="33">
        <f t="shared" si="9"/>
        <v>0</v>
      </c>
    </row>
    <row r="586" spans="1:12" x14ac:dyDescent="0.25">
      <c r="A586">
        <v>585</v>
      </c>
      <c r="B586" t="s">
        <v>854</v>
      </c>
      <c r="C586" s="16">
        <v>5.3010000000000002</v>
      </c>
      <c r="D586" s="12">
        <v>1</v>
      </c>
      <c r="E586" s="16">
        <v>2.8</v>
      </c>
      <c r="F586" s="16">
        <v>5.3</v>
      </c>
      <c r="G586" s="16">
        <v>5.3010000000000002</v>
      </c>
      <c r="H586" s="16">
        <v>0</v>
      </c>
      <c r="I586" s="12">
        <v>0</v>
      </c>
      <c r="L586" s="33">
        <f t="shared" si="9"/>
        <v>0</v>
      </c>
    </row>
    <row r="587" spans="1:12" x14ac:dyDescent="0.25">
      <c r="A587">
        <v>586</v>
      </c>
      <c r="B587" t="s">
        <v>498</v>
      </c>
      <c r="C587" s="16">
        <v>5.4530000000000003</v>
      </c>
      <c r="D587" s="12">
        <v>1</v>
      </c>
      <c r="E587" s="16">
        <v>3</v>
      </c>
      <c r="F587" s="16">
        <v>5.2</v>
      </c>
      <c r="G587" s="16">
        <v>5.2030000000000003</v>
      </c>
      <c r="H587" s="16">
        <v>0</v>
      </c>
      <c r="I587" s="12">
        <v>0</v>
      </c>
      <c r="L587" s="33">
        <f t="shared" si="9"/>
        <v>0</v>
      </c>
    </row>
    <row r="588" spans="1:12" x14ac:dyDescent="0.25">
      <c r="A588">
        <v>587</v>
      </c>
      <c r="B588" t="s">
        <v>499</v>
      </c>
      <c r="C588" s="16">
        <v>5.3280000000000003</v>
      </c>
      <c r="D588" s="12">
        <v>1</v>
      </c>
      <c r="E588" s="16">
        <v>2.8</v>
      </c>
      <c r="F588" s="16">
        <v>5.2</v>
      </c>
      <c r="G588" s="16">
        <v>5.2030000000000003</v>
      </c>
      <c r="H588" s="16">
        <v>0</v>
      </c>
      <c r="I588" s="12">
        <v>0</v>
      </c>
      <c r="L588" s="33">
        <f t="shared" si="9"/>
        <v>0</v>
      </c>
    </row>
    <row r="589" spans="1:12" x14ac:dyDescent="0.25">
      <c r="A589">
        <v>588</v>
      </c>
      <c r="B589" t="s">
        <v>500</v>
      </c>
      <c r="C589" s="16">
        <v>5.2030000000000003</v>
      </c>
      <c r="D589" s="12">
        <v>1</v>
      </c>
      <c r="E589" s="16">
        <v>2.7</v>
      </c>
      <c r="F589" s="16">
        <v>5.2</v>
      </c>
      <c r="G589" s="16">
        <v>5.2030000000000003</v>
      </c>
      <c r="H589" s="16">
        <v>0</v>
      </c>
      <c r="I589" s="12">
        <v>0</v>
      </c>
      <c r="L589" s="33">
        <f t="shared" si="9"/>
        <v>0</v>
      </c>
    </row>
    <row r="590" spans="1:12" x14ac:dyDescent="0.25">
      <c r="A590">
        <v>589</v>
      </c>
      <c r="B590" t="s">
        <v>1218</v>
      </c>
      <c r="C590" s="16">
        <v>5.952</v>
      </c>
      <c r="D590" s="12">
        <v>1</v>
      </c>
      <c r="E590" s="16">
        <v>3.5</v>
      </c>
      <c r="F590" s="16">
        <v>5.2</v>
      </c>
      <c r="G590" s="16">
        <v>5.202</v>
      </c>
      <c r="H590" s="16">
        <v>0</v>
      </c>
      <c r="I590" s="12">
        <v>0</v>
      </c>
      <c r="L590" s="33">
        <f t="shared" si="9"/>
        <v>0</v>
      </c>
    </row>
    <row r="591" spans="1:12" x14ac:dyDescent="0.25">
      <c r="A591">
        <v>590</v>
      </c>
      <c r="B591" t="s">
        <v>212</v>
      </c>
      <c r="C591" s="16">
        <v>8.9510000000000005</v>
      </c>
      <c r="D591" s="12">
        <v>2</v>
      </c>
      <c r="E591" s="16">
        <v>3.2</v>
      </c>
      <c r="F591" s="16">
        <v>4.4000000000000004</v>
      </c>
      <c r="G591" s="16">
        <v>8.7010000000000005</v>
      </c>
      <c r="H591" s="16">
        <v>0</v>
      </c>
      <c r="I591" s="12">
        <v>0</v>
      </c>
      <c r="L591" s="33">
        <f t="shared" si="9"/>
        <v>0</v>
      </c>
    </row>
    <row r="592" spans="1:12" x14ac:dyDescent="0.25">
      <c r="A592">
        <v>591</v>
      </c>
      <c r="B592" t="s">
        <v>213</v>
      </c>
      <c r="C592" s="16">
        <v>5.2009999999999996</v>
      </c>
      <c r="D592" s="12">
        <v>1</v>
      </c>
      <c r="E592" s="16">
        <v>2.7</v>
      </c>
      <c r="F592" s="16">
        <v>5.2</v>
      </c>
      <c r="G592" s="16">
        <v>5.2009999999999996</v>
      </c>
      <c r="H592" s="16">
        <v>0</v>
      </c>
      <c r="I592" s="12">
        <v>0</v>
      </c>
      <c r="L592" s="33">
        <f t="shared" si="9"/>
        <v>0</v>
      </c>
    </row>
    <row r="593" spans="1:12" x14ac:dyDescent="0.25">
      <c r="A593">
        <v>592</v>
      </c>
      <c r="B593" t="s">
        <v>847</v>
      </c>
      <c r="C593" s="16">
        <v>5.8529999999999998</v>
      </c>
      <c r="D593" s="12">
        <v>1</v>
      </c>
      <c r="E593" s="16">
        <v>3.4</v>
      </c>
      <c r="F593" s="16">
        <v>5.0999999999999996</v>
      </c>
      <c r="G593" s="16">
        <v>5.1029999999999998</v>
      </c>
      <c r="H593" s="16">
        <v>0</v>
      </c>
      <c r="I593" s="12">
        <v>0</v>
      </c>
      <c r="L593" s="33">
        <f t="shared" si="9"/>
        <v>0</v>
      </c>
    </row>
    <row r="594" spans="1:12" x14ac:dyDescent="0.25">
      <c r="A594">
        <v>593</v>
      </c>
      <c r="B594" t="s">
        <v>848</v>
      </c>
      <c r="C594" s="16">
        <v>5.3529999999999998</v>
      </c>
      <c r="D594" s="12">
        <v>1</v>
      </c>
      <c r="E594" s="16">
        <v>2.9</v>
      </c>
      <c r="F594" s="16">
        <v>5.0999999999999996</v>
      </c>
      <c r="G594" s="16">
        <v>5.1029999999999998</v>
      </c>
      <c r="H594" s="16">
        <v>0</v>
      </c>
      <c r="I594" s="12">
        <v>0</v>
      </c>
      <c r="L594" s="33">
        <f t="shared" si="9"/>
        <v>0</v>
      </c>
    </row>
    <row r="595" spans="1:12" x14ac:dyDescent="0.25">
      <c r="A595">
        <v>594</v>
      </c>
      <c r="B595" t="s">
        <v>849</v>
      </c>
      <c r="C595" s="16">
        <v>5.2279999999999998</v>
      </c>
      <c r="D595" s="12">
        <v>1</v>
      </c>
      <c r="E595" s="16">
        <v>2.7</v>
      </c>
      <c r="F595" s="16">
        <v>5.0999999999999996</v>
      </c>
      <c r="G595" s="16">
        <v>5.1029999999999998</v>
      </c>
      <c r="H595" s="16">
        <v>0</v>
      </c>
      <c r="I595" s="12">
        <v>0</v>
      </c>
      <c r="L595" s="33">
        <f t="shared" si="9"/>
        <v>0</v>
      </c>
    </row>
    <row r="596" spans="1:12" x14ac:dyDescent="0.25">
      <c r="A596">
        <v>595</v>
      </c>
      <c r="B596" t="s">
        <v>850</v>
      </c>
      <c r="C596" s="16">
        <v>5.1029999999999998</v>
      </c>
      <c r="D596" s="12">
        <v>1</v>
      </c>
      <c r="E596" s="16">
        <v>2.6</v>
      </c>
      <c r="F596" s="16">
        <v>5.0999999999999996</v>
      </c>
      <c r="G596" s="16">
        <v>5.1029999999999998</v>
      </c>
      <c r="H596" s="16">
        <v>0</v>
      </c>
      <c r="I596" s="12">
        <v>0</v>
      </c>
      <c r="L596" s="33">
        <f t="shared" si="9"/>
        <v>0</v>
      </c>
    </row>
    <row r="597" spans="1:12" x14ac:dyDescent="0.25">
      <c r="A597">
        <v>596</v>
      </c>
      <c r="B597" t="s">
        <v>520</v>
      </c>
      <c r="C597" s="16">
        <v>5.8520000000000003</v>
      </c>
      <c r="D597" s="12">
        <v>1</v>
      </c>
      <c r="E597" s="16">
        <v>3.4</v>
      </c>
      <c r="F597" s="16">
        <v>5.0999999999999996</v>
      </c>
      <c r="G597" s="16">
        <v>5.1020000000000003</v>
      </c>
      <c r="H597" s="16">
        <v>0</v>
      </c>
      <c r="I597" s="12">
        <v>0</v>
      </c>
      <c r="L597" s="33">
        <f t="shared" si="9"/>
        <v>0</v>
      </c>
    </row>
    <row r="598" spans="1:12" x14ac:dyDescent="0.25">
      <c r="A598">
        <v>597</v>
      </c>
      <c r="B598" t="s">
        <v>521</v>
      </c>
      <c r="C598" s="16">
        <v>5.3520000000000003</v>
      </c>
      <c r="D598" s="12">
        <v>1</v>
      </c>
      <c r="E598" s="16">
        <v>2.9</v>
      </c>
      <c r="F598" s="16">
        <v>5.0999999999999996</v>
      </c>
      <c r="G598" s="16">
        <v>5.1020000000000003</v>
      </c>
      <c r="H598" s="16">
        <v>0</v>
      </c>
      <c r="I598" s="12">
        <v>0</v>
      </c>
      <c r="L598" s="33">
        <f t="shared" si="9"/>
        <v>0</v>
      </c>
    </row>
    <row r="599" spans="1:12" x14ac:dyDescent="0.25">
      <c r="A599">
        <v>598</v>
      </c>
      <c r="B599" t="s">
        <v>522</v>
      </c>
      <c r="C599" s="16">
        <v>5.2270000000000003</v>
      </c>
      <c r="D599" s="12">
        <v>1</v>
      </c>
      <c r="E599" s="16">
        <v>2.7</v>
      </c>
      <c r="F599" s="16">
        <v>5.0999999999999996</v>
      </c>
      <c r="G599" s="16">
        <v>5.1020000000000003</v>
      </c>
      <c r="H599" s="16">
        <v>0</v>
      </c>
      <c r="I599" s="12">
        <v>0</v>
      </c>
      <c r="L599" s="33">
        <f t="shared" si="9"/>
        <v>0</v>
      </c>
    </row>
    <row r="600" spans="1:12" x14ac:dyDescent="0.25">
      <c r="A600">
        <v>599</v>
      </c>
      <c r="B600" t="s">
        <v>523</v>
      </c>
      <c r="C600" s="16">
        <v>5.1020000000000003</v>
      </c>
      <c r="D600" s="12">
        <v>1</v>
      </c>
      <c r="E600" s="16">
        <v>2.6</v>
      </c>
      <c r="F600" s="16">
        <v>5.0999999999999996</v>
      </c>
      <c r="G600" s="16">
        <v>5.1020000000000003</v>
      </c>
      <c r="H600" s="16">
        <v>0</v>
      </c>
      <c r="I600" s="12">
        <v>0</v>
      </c>
      <c r="L600" s="33">
        <f t="shared" si="9"/>
        <v>0</v>
      </c>
    </row>
    <row r="601" spans="1:12" x14ac:dyDescent="0.25">
      <c r="A601">
        <v>600</v>
      </c>
      <c r="B601" t="s">
        <v>94</v>
      </c>
      <c r="C601" s="16">
        <v>5.851</v>
      </c>
      <c r="D601" s="12">
        <v>1</v>
      </c>
      <c r="E601" s="16">
        <v>3.4</v>
      </c>
      <c r="F601" s="16">
        <v>5.0999999999999996</v>
      </c>
      <c r="G601" s="16">
        <v>5.101</v>
      </c>
      <c r="H601" s="16">
        <v>0</v>
      </c>
      <c r="I601" s="12">
        <v>0</v>
      </c>
      <c r="L601" s="33">
        <f t="shared" si="9"/>
        <v>0</v>
      </c>
    </row>
    <row r="602" spans="1:12" x14ac:dyDescent="0.25">
      <c r="A602">
        <v>601</v>
      </c>
      <c r="B602" t="s">
        <v>95</v>
      </c>
      <c r="C602" s="16">
        <v>5.351</v>
      </c>
      <c r="D602" s="12">
        <v>1</v>
      </c>
      <c r="E602" s="16">
        <v>2.9</v>
      </c>
      <c r="F602" s="16">
        <v>5.0999999999999996</v>
      </c>
      <c r="G602" s="16">
        <v>5.101</v>
      </c>
      <c r="H602" s="16">
        <v>0</v>
      </c>
      <c r="I602" s="12">
        <v>0</v>
      </c>
      <c r="L602" s="33">
        <f t="shared" si="9"/>
        <v>0</v>
      </c>
    </row>
    <row r="603" spans="1:12" x14ac:dyDescent="0.25">
      <c r="A603">
        <v>602</v>
      </c>
      <c r="B603" t="s">
        <v>306</v>
      </c>
      <c r="C603" s="16">
        <v>5.226</v>
      </c>
      <c r="D603" s="12">
        <v>1</v>
      </c>
      <c r="E603" s="16">
        <v>2.7</v>
      </c>
      <c r="F603" s="16">
        <v>5.0999999999999996</v>
      </c>
      <c r="G603" s="16">
        <v>5.101</v>
      </c>
      <c r="H603" s="16">
        <v>0</v>
      </c>
      <c r="I603" s="12">
        <v>0</v>
      </c>
      <c r="L603" s="33">
        <f t="shared" si="9"/>
        <v>0</v>
      </c>
    </row>
    <row r="604" spans="1:12" x14ac:dyDescent="0.25">
      <c r="A604">
        <v>603</v>
      </c>
      <c r="B604" t="s">
        <v>307</v>
      </c>
      <c r="C604" s="16">
        <v>5.101</v>
      </c>
      <c r="D604" s="12">
        <v>1</v>
      </c>
      <c r="E604" s="16">
        <v>2.6</v>
      </c>
      <c r="F604" s="16">
        <v>5.0999999999999996</v>
      </c>
      <c r="G604" s="16">
        <v>5.101</v>
      </c>
      <c r="H604" s="16">
        <v>0</v>
      </c>
      <c r="I604" s="12">
        <v>0</v>
      </c>
      <c r="L604" s="33">
        <f t="shared" si="9"/>
        <v>0</v>
      </c>
    </row>
    <row r="605" spans="1:12" x14ac:dyDescent="0.25">
      <c r="A605">
        <v>604</v>
      </c>
      <c r="B605" t="s">
        <v>370</v>
      </c>
      <c r="C605" s="16">
        <v>5.2530000000000001</v>
      </c>
      <c r="D605" s="12">
        <v>1</v>
      </c>
      <c r="E605" s="16">
        <v>2.8</v>
      </c>
      <c r="F605" s="16">
        <v>5</v>
      </c>
      <c r="G605" s="16">
        <v>5.0030000000000001</v>
      </c>
      <c r="H605" s="16">
        <v>0</v>
      </c>
      <c r="I605" s="12">
        <v>0</v>
      </c>
      <c r="L605" s="33">
        <f t="shared" si="9"/>
        <v>0</v>
      </c>
    </row>
    <row r="606" spans="1:12" x14ac:dyDescent="0.25">
      <c r="A606">
        <v>605</v>
      </c>
      <c r="B606" t="s">
        <v>371</v>
      </c>
      <c r="C606" s="16">
        <v>5.1280000000000001</v>
      </c>
      <c r="D606" s="12">
        <v>1</v>
      </c>
      <c r="E606" s="16">
        <v>2.6</v>
      </c>
      <c r="F606" s="16">
        <v>5</v>
      </c>
      <c r="G606" s="16">
        <v>5.0030000000000001</v>
      </c>
      <c r="H606" s="16">
        <v>0</v>
      </c>
      <c r="I606" s="12">
        <v>0</v>
      </c>
      <c r="L606" s="33">
        <f t="shared" si="9"/>
        <v>0</v>
      </c>
    </row>
    <row r="607" spans="1:12" x14ac:dyDescent="0.25">
      <c r="A607">
        <v>606</v>
      </c>
      <c r="B607" t="s">
        <v>372</v>
      </c>
      <c r="C607" s="16">
        <v>5.0030000000000001</v>
      </c>
      <c r="D607" s="12">
        <v>1</v>
      </c>
      <c r="E607" s="16">
        <v>2.5</v>
      </c>
      <c r="F607" s="16">
        <v>5</v>
      </c>
      <c r="G607" s="16">
        <v>5.0030000000000001</v>
      </c>
      <c r="H607" s="16">
        <v>0</v>
      </c>
      <c r="I607" s="12">
        <v>0</v>
      </c>
      <c r="L607" s="33">
        <f t="shared" si="9"/>
        <v>0</v>
      </c>
    </row>
    <row r="608" spans="1:12" x14ac:dyDescent="0.25">
      <c r="A608">
        <v>607</v>
      </c>
      <c r="B608" t="s">
        <v>314</v>
      </c>
      <c r="C608" s="16">
        <v>5.7519999999999998</v>
      </c>
      <c r="D608" s="12">
        <v>1</v>
      </c>
      <c r="E608" s="16">
        <v>3.3</v>
      </c>
      <c r="F608" s="16">
        <v>5</v>
      </c>
      <c r="G608" s="16">
        <v>5.0019999999999998</v>
      </c>
      <c r="H608" s="16">
        <v>0</v>
      </c>
      <c r="I608" s="12">
        <v>0</v>
      </c>
      <c r="L608" s="33">
        <f t="shared" si="9"/>
        <v>0</v>
      </c>
    </row>
    <row r="609" spans="1:12" x14ac:dyDescent="0.25">
      <c r="A609">
        <v>608</v>
      </c>
      <c r="B609" t="s">
        <v>315</v>
      </c>
      <c r="C609" s="16">
        <v>5.2519999999999998</v>
      </c>
      <c r="D609" s="12">
        <v>1</v>
      </c>
      <c r="E609" s="16">
        <v>2.8</v>
      </c>
      <c r="F609" s="16">
        <v>5</v>
      </c>
      <c r="G609" s="16">
        <v>5.0019999999999998</v>
      </c>
      <c r="H609" s="16">
        <v>0</v>
      </c>
      <c r="I609" s="12">
        <v>0</v>
      </c>
      <c r="L609" s="33">
        <f t="shared" si="9"/>
        <v>0</v>
      </c>
    </row>
    <row r="610" spans="1:12" x14ac:dyDescent="0.25">
      <c r="A610">
        <v>609</v>
      </c>
      <c r="B610" t="s">
        <v>316</v>
      </c>
      <c r="C610" s="16">
        <v>5.1269999999999998</v>
      </c>
      <c r="D610" s="12">
        <v>1</v>
      </c>
      <c r="E610" s="16">
        <v>2.6</v>
      </c>
      <c r="F610" s="16">
        <v>5</v>
      </c>
      <c r="G610" s="16">
        <v>5.0019999999999998</v>
      </c>
      <c r="H610" s="16">
        <v>0</v>
      </c>
      <c r="I610" s="12">
        <v>0</v>
      </c>
      <c r="L610" s="33">
        <f t="shared" si="9"/>
        <v>0</v>
      </c>
    </row>
    <row r="611" spans="1:12" x14ac:dyDescent="0.25">
      <c r="A611">
        <v>610</v>
      </c>
      <c r="B611" t="s">
        <v>317</v>
      </c>
      <c r="C611" s="16">
        <v>5.0019999999999998</v>
      </c>
      <c r="D611" s="12">
        <v>1</v>
      </c>
      <c r="E611" s="16">
        <v>2.5</v>
      </c>
      <c r="F611" s="16">
        <v>5</v>
      </c>
      <c r="G611" s="16">
        <v>5.0019999999999998</v>
      </c>
      <c r="H611" s="16">
        <v>0</v>
      </c>
      <c r="I611" s="12">
        <v>0</v>
      </c>
      <c r="L611" s="33">
        <f t="shared" si="9"/>
        <v>0</v>
      </c>
    </row>
    <row r="612" spans="1:12" x14ac:dyDescent="0.25">
      <c r="A612">
        <v>611</v>
      </c>
      <c r="B612" t="s">
        <v>283</v>
      </c>
      <c r="C612" s="16">
        <v>5.7510000000000003</v>
      </c>
      <c r="D612" s="12">
        <v>1</v>
      </c>
      <c r="E612" s="16">
        <v>3.3</v>
      </c>
      <c r="F612" s="16">
        <v>5</v>
      </c>
      <c r="G612" s="16">
        <v>5.0010000000000003</v>
      </c>
      <c r="H612" s="16">
        <v>0</v>
      </c>
      <c r="I612" s="12">
        <v>0</v>
      </c>
      <c r="L612" s="33">
        <f t="shared" si="9"/>
        <v>0</v>
      </c>
    </row>
    <row r="613" spans="1:12" x14ac:dyDescent="0.25">
      <c r="A613">
        <v>612</v>
      </c>
      <c r="B613" t="s">
        <v>285</v>
      </c>
      <c r="C613" s="16">
        <v>5.1260000000000003</v>
      </c>
      <c r="D613" s="12">
        <v>1</v>
      </c>
      <c r="E613" s="16">
        <v>2.6</v>
      </c>
      <c r="F613" s="16">
        <v>5</v>
      </c>
      <c r="G613" s="16">
        <v>5.0010000000000003</v>
      </c>
      <c r="H613" s="16">
        <v>0</v>
      </c>
      <c r="I613" s="12">
        <v>0</v>
      </c>
      <c r="L613" s="33">
        <f t="shared" si="9"/>
        <v>0</v>
      </c>
    </row>
    <row r="614" spans="1:12" x14ac:dyDescent="0.25">
      <c r="A614">
        <v>613</v>
      </c>
      <c r="B614" t="s">
        <v>286</v>
      </c>
      <c r="C614" s="16">
        <v>5.0010000000000003</v>
      </c>
      <c r="D614" s="12">
        <v>1</v>
      </c>
      <c r="E614" s="16">
        <v>2.5</v>
      </c>
      <c r="F614" s="16">
        <v>5</v>
      </c>
      <c r="G614" s="16">
        <v>5.0010000000000003</v>
      </c>
      <c r="H614" s="16">
        <v>0</v>
      </c>
      <c r="I614" s="12">
        <v>0</v>
      </c>
      <c r="L614" s="33">
        <f t="shared" si="9"/>
        <v>0</v>
      </c>
    </row>
    <row r="615" spans="1:12" x14ac:dyDescent="0.25">
      <c r="A615">
        <v>614</v>
      </c>
      <c r="B615" t="s">
        <v>843</v>
      </c>
      <c r="C615" s="16">
        <v>5.6520000000000001</v>
      </c>
      <c r="D615" s="12">
        <v>1</v>
      </c>
      <c r="E615" s="16">
        <v>3.2</v>
      </c>
      <c r="F615" s="16">
        <v>4.9000000000000004</v>
      </c>
      <c r="G615" s="16">
        <v>4.9020000000000001</v>
      </c>
      <c r="H615" s="16">
        <v>0</v>
      </c>
      <c r="I615" s="12">
        <v>0</v>
      </c>
      <c r="L615" s="33">
        <f t="shared" si="9"/>
        <v>0</v>
      </c>
    </row>
    <row r="616" spans="1:12" x14ac:dyDescent="0.25">
      <c r="A616">
        <v>615</v>
      </c>
      <c r="B616" t="s">
        <v>127</v>
      </c>
      <c r="C616" s="16">
        <v>5.0259999999999998</v>
      </c>
      <c r="D616" s="12">
        <v>1</v>
      </c>
      <c r="E616" s="16">
        <v>2.5</v>
      </c>
      <c r="F616" s="16">
        <v>4.9000000000000004</v>
      </c>
      <c r="G616" s="16">
        <v>4.9009999999999998</v>
      </c>
      <c r="H616" s="16">
        <v>0</v>
      </c>
      <c r="I616" s="12">
        <v>0</v>
      </c>
      <c r="L616" s="33">
        <f t="shared" si="9"/>
        <v>0</v>
      </c>
    </row>
    <row r="617" spans="1:12" x14ac:dyDescent="0.25">
      <c r="A617">
        <v>616</v>
      </c>
      <c r="B617" t="s">
        <v>329</v>
      </c>
      <c r="C617" s="16">
        <v>4.9009999999999998</v>
      </c>
      <c r="D617" s="12">
        <v>1</v>
      </c>
      <c r="E617" s="16">
        <v>2.4</v>
      </c>
      <c r="F617" s="16">
        <v>4.9000000000000004</v>
      </c>
      <c r="G617" s="16">
        <v>4.9009999999999998</v>
      </c>
      <c r="H617" s="16">
        <v>0</v>
      </c>
      <c r="I617" s="12">
        <v>0</v>
      </c>
      <c r="L617" s="33">
        <f t="shared" si="9"/>
        <v>0</v>
      </c>
    </row>
    <row r="618" spans="1:12" x14ac:dyDescent="0.25">
      <c r="A618">
        <v>617</v>
      </c>
      <c r="B618" t="s">
        <v>1237</v>
      </c>
      <c r="C618" s="16">
        <v>5.0529999999999999</v>
      </c>
      <c r="D618" s="12">
        <v>1</v>
      </c>
      <c r="E618" s="16">
        <v>2.6</v>
      </c>
      <c r="F618" s="16">
        <v>4.8</v>
      </c>
      <c r="G618" s="16">
        <v>4.8029999999999999</v>
      </c>
      <c r="H618" s="16">
        <v>0</v>
      </c>
      <c r="I618" s="12">
        <v>0</v>
      </c>
      <c r="L618" s="33">
        <f t="shared" si="9"/>
        <v>0</v>
      </c>
    </row>
    <row r="619" spans="1:12" x14ac:dyDescent="0.25">
      <c r="A619">
        <v>618</v>
      </c>
      <c r="B619" t="s">
        <v>1300</v>
      </c>
      <c r="C619" s="16">
        <v>4.9279999999999999</v>
      </c>
      <c r="D619" s="12">
        <v>1</v>
      </c>
      <c r="E619" s="16">
        <v>2.4</v>
      </c>
      <c r="F619" s="16">
        <v>4.8</v>
      </c>
      <c r="G619" s="16">
        <v>4.8029999999999999</v>
      </c>
      <c r="H619" s="16">
        <v>0</v>
      </c>
      <c r="I619" s="12">
        <v>0</v>
      </c>
      <c r="L619" s="33">
        <f t="shared" si="9"/>
        <v>0</v>
      </c>
    </row>
    <row r="620" spans="1:12" x14ac:dyDescent="0.25">
      <c r="A620">
        <v>619</v>
      </c>
      <c r="B620" t="s">
        <v>1236</v>
      </c>
      <c r="C620" s="16">
        <v>4.8029999999999999</v>
      </c>
      <c r="D620" s="12">
        <v>1</v>
      </c>
      <c r="E620" s="16">
        <v>2.2999999999999998</v>
      </c>
      <c r="F620" s="16">
        <v>4.8</v>
      </c>
      <c r="G620" s="16">
        <v>4.8029999999999999</v>
      </c>
      <c r="H620" s="16">
        <v>0</v>
      </c>
      <c r="I620" s="12">
        <v>0</v>
      </c>
      <c r="L620" s="33">
        <f t="shared" si="9"/>
        <v>0</v>
      </c>
    </row>
    <row r="621" spans="1:12" x14ac:dyDescent="0.25">
      <c r="A621">
        <v>620</v>
      </c>
      <c r="B621" t="s">
        <v>794</v>
      </c>
      <c r="C621" s="16">
        <v>5.5519999999999996</v>
      </c>
      <c r="D621" s="12">
        <v>1</v>
      </c>
      <c r="E621" s="16">
        <v>3.1</v>
      </c>
      <c r="F621" s="16">
        <v>4.8</v>
      </c>
      <c r="G621" s="16">
        <v>4.8019999999999996</v>
      </c>
      <c r="H621" s="16">
        <v>0</v>
      </c>
      <c r="I621" s="12">
        <v>0</v>
      </c>
      <c r="L621" s="33">
        <f t="shared" si="9"/>
        <v>0</v>
      </c>
    </row>
    <row r="622" spans="1:12" x14ac:dyDescent="0.25">
      <c r="A622">
        <v>621</v>
      </c>
      <c r="B622" t="s">
        <v>808</v>
      </c>
      <c r="C622" s="16">
        <v>5.0519999999999996</v>
      </c>
      <c r="D622" s="12">
        <v>1</v>
      </c>
      <c r="E622" s="16">
        <v>2.6</v>
      </c>
      <c r="F622" s="16">
        <v>4.8</v>
      </c>
      <c r="G622" s="16">
        <v>4.8019999999999996</v>
      </c>
      <c r="H622" s="16">
        <v>0</v>
      </c>
      <c r="I622" s="12">
        <v>0</v>
      </c>
      <c r="L622" s="33">
        <f t="shared" si="9"/>
        <v>0</v>
      </c>
    </row>
    <row r="623" spans="1:12" x14ac:dyDescent="0.25">
      <c r="A623">
        <v>622</v>
      </c>
      <c r="B623" t="s">
        <v>807</v>
      </c>
      <c r="C623" s="16">
        <v>4.9269999999999996</v>
      </c>
      <c r="D623" s="12">
        <v>1</v>
      </c>
      <c r="E623" s="16">
        <v>2.4</v>
      </c>
      <c r="F623" s="16">
        <v>4.8</v>
      </c>
      <c r="G623" s="16">
        <v>4.8019999999999996</v>
      </c>
      <c r="H623" s="16">
        <v>0</v>
      </c>
      <c r="I623" s="12">
        <v>0</v>
      </c>
      <c r="L623" s="33">
        <f t="shared" si="9"/>
        <v>0</v>
      </c>
    </row>
    <row r="624" spans="1:12" x14ac:dyDescent="0.25">
      <c r="A624">
        <v>623</v>
      </c>
      <c r="B624" t="s">
        <v>778</v>
      </c>
      <c r="C624" s="16">
        <v>4.8019999999999996</v>
      </c>
      <c r="D624" s="12">
        <v>1</v>
      </c>
      <c r="E624" s="16">
        <v>2.2999999999999998</v>
      </c>
      <c r="F624" s="16">
        <v>4.8</v>
      </c>
      <c r="G624" s="16">
        <v>4.8019999999999996</v>
      </c>
      <c r="H624" s="16">
        <v>0</v>
      </c>
      <c r="I624" s="12">
        <v>0</v>
      </c>
      <c r="L624" s="33">
        <f t="shared" si="9"/>
        <v>0</v>
      </c>
    </row>
    <row r="625" spans="1:12" x14ac:dyDescent="0.25">
      <c r="A625">
        <v>624</v>
      </c>
      <c r="B625" t="s">
        <v>596</v>
      </c>
      <c r="C625" s="16">
        <v>5.0510000000000002</v>
      </c>
      <c r="D625" s="12">
        <v>1</v>
      </c>
      <c r="E625" s="16">
        <v>2.6</v>
      </c>
      <c r="F625" s="16">
        <v>4.8</v>
      </c>
      <c r="G625" s="16">
        <v>4.8010000000000002</v>
      </c>
      <c r="H625" s="16">
        <v>0</v>
      </c>
      <c r="I625" s="12">
        <v>0</v>
      </c>
      <c r="L625" s="33">
        <f t="shared" si="9"/>
        <v>0</v>
      </c>
    </row>
    <row r="626" spans="1:12" x14ac:dyDescent="0.25">
      <c r="A626">
        <v>625</v>
      </c>
      <c r="B626" t="s">
        <v>598</v>
      </c>
      <c r="C626" s="16">
        <v>4.8010000000000002</v>
      </c>
      <c r="D626" s="12">
        <v>1</v>
      </c>
      <c r="E626" s="16">
        <v>2.2999999999999998</v>
      </c>
      <c r="F626" s="16">
        <v>4.8</v>
      </c>
      <c r="G626" s="16">
        <v>4.8010000000000002</v>
      </c>
      <c r="H626" s="16">
        <v>0</v>
      </c>
      <c r="I626" s="12">
        <v>0</v>
      </c>
      <c r="L626" s="33">
        <f t="shared" si="9"/>
        <v>0</v>
      </c>
    </row>
    <row r="627" spans="1:12" x14ac:dyDescent="0.25">
      <c r="A627">
        <v>626</v>
      </c>
      <c r="B627" t="s">
        <v>806</v>
      </c>
      <c r="C627" s="16">
        <v>5.452</v>
      </c>
      <c r="D627" s="12">
        <v>1</v>
      </c>
      <c r="E627" s="16">
        <v>3</v>
      </c>
      <c r="F627" s="16">
        <v>4.7</v>
      </c>
      <c r="G627" s="16">
        <v>4.702</v>
      </c>
      <c r="H627" s="16">
        <v>0</v>
      </c>
      <c r="I627" s="12">
        <v>0</v>
      </c>
      <c r="L627" s="33">
        <f t="shared" si="9"/>
        <v>0</v>
      </c>
    </row>
    <row r="628" spans="1:12" x14ac:dyDescent="0.25">
      <c r="A628">
        <v>627</v>
      </c>
      <c r="B628" t="s">
        <v>805</v>
      </c>
      <c r="C628" s="16">
        <v>4.952</v>
      </c>
      <c r="D628" s="12">
        <v>1</v>
      </c>
      <c r="E628" s="16">
        <v>2.5</v>
      </c>
      <c r="F628" s="16">
        <v>4.7</v>
      </c>
      <c r="G628" s="16">
        <v>4.702</v>
      </c>
      <c r="H628" s="16">
        <v>0</v>
      </c>
      <c r="I628" s="12">
        <v>0</v>
      </c>
      <c r="L628" s="33">
        <f t="shared" si="9"/>
        <v>0</v>
      </c>
    </row>
    <row r="629" spans="1:12" x14ac:dyDescent="0.25">
      <c r="A629">
        <v>628</v>
      </c>
      <c r="B629" t="s">
        <v>1202</v>
      </c>
      <c r="C629" s="16">
        <v>4.827</v>
      </c>
      <c r="D629" s="12">
        <v>1</v>
      </c>
      <c r="E629" s="16">
        <v>2.2999999999999998</v>
      </c>
      <c r="F629" s="16">
        <v>4.7</v>
      </c>
      <c r="G629" s="16">
        <v>4.702</v>
      </c>
      <c r="H629" s="16">
        <v>0</v>
      </c>
      <c r="I629" s="12">
        <v>0</v>
      </c>
      <c r="L629" s="33">
        <f t="shared" si="9"/>
        <v>0</v>
      </c>
    </row>
    <row r="630" spans="1:12" x14ac:dyDescent="0.25">
      <c r="A630">
        <v>629</v>
      </c>
      <c r="B630" t="s">
        <v>804</v>
      </c>
      <c r="C630" s="16">
        <v>4.702</v>
      </c>
      <c r="D630" s="12">
        <v>1</v>
      </c>
      <c r="E630" s="16">
        <v>2.2000000000000002</v>
      </c>
      <c r="F630" s="16">
        <v>4.7</v>
      </c>
      <c r="G630" s="16">
        <v>4.702</v>
      </c>
      <c r="H630" s="16">
        <v>0</v>
      </c>
      <c r="I630" s="12">
        <v>0</v>
      </c>
      <c r="L630" s="33">
        <f t="shared" si="9"/>
        <v>0</v>
      </c>
    </row>
    <row r="631" spans="1:12" x14ac:dyDescent="0.25">
      <c r="A631">
        <v>630</v>
      </c>
      <c r="B631" t="s">
        <v>863</v>
      </c>
      <c r="C631" s="16">
        <v>4.9509999999999996</v>
      </c>
      <c r="D631" s="12">
        <v>1</v>
      </c>
      <c r="E631" s="16">
        <v>2.5</v>
      </c>
      <c r="F631" s="16">
        <v>4.7</v>
      </c>
      <c r="G631" s="16">
        <v>4.7009999999999996</v>
      </c>
      <c r="H631" s="16">
        <v>0</v>
      </c>
      <c r="I631" s="12">
        <v>0</v>
      </c>
      <c r="L631" s="33">
        <f t="shared" si="9"/>
        <v>0</v>
      </c>
    </row>
    <row r="632" spans="1:12" x14ac:dyDescent="0.25">
      <c r="A632">
        <v>631</v>
      </c>
      <c r="B632" t="s">
        <v>864</v>
      </c>
      <c r="C632" s="16">
        <v>4.8259999999999996</v>
      </c>
      <c r="D632" s="12">
        <v>1</v>
      </c>
      <c r="E632" s="16">
        <v>2.2999999999999998</v>
      </c>
      <c r="F632" s="16">
        <v>4.7</v>
      </c>
      <c r="G632" s="16">
        <v>4.7009999999999996</v>
      </c>
      <c r="H632" s="16">
        <v>0</v>
      </c>
      <c r="I632" s="12">
        <v>0</v>
      </c>
      <c r="L632" s="33">
        <f t="shared" si="9"/>
        <v>0</v>
      </c>
    </row>
    <row r="633" spans="1:12" x14ac:dyDescent="0.25">
      <c r="A633">
        <v>632</v>
      </c>
      <c r="B633" t="s">
        <v>444</v>
      </c>
      <c r="C633" s="16">
        <v>4.95</v>
      </c>
      <c r="D633" s="12">
        <v>1</v>
      </c>
      <c r="E633" s="16">
        <v>2.4</v>
      </c>
      <c r="F633" s="16">
        <v>4.7</v>
      </c>
      <c r="G633" s="16">
        <v>4.7</v>
      </c>
      <c r="H633" s="16">
        <v>0</v>
      </c>
      <c r="I633" s="12">
        <v>0</v>
      </c>
      <c r="L633" s="33">
        <f t="shared" si="9"/>
        <v>0</v>
      </c>
    </row>
    <row r="634" spans="1:12" x14ac:dyDescent="0.25">
      <c r="A634">
        <v>633</v>
      </c>
      <c r="B634" t="s">
        <v>504</v>
      </c>
      <c r="C634" s="16">
        <v>4.7249999999999996</v>
      </c>
      <c r="D634" s="12">
        <v>1</v>
      </c>
      <c r="E634" s="16">
        <v>2.2000000000000002</v>
      </c>
      <c r="F634" s="16">
        <v>4.5999999999999996</v>
      </c>
      <c r="G634" s="16">
        <v>4.5999999999999996</v>
      </c>
      <c r="H634" s="16">
        <v>0</v>
      </c>
      <c r="I634" s="12">
        <v>0</v>
      </c>
      <c r="L634" s="33">
        <f t="shared" si="9"/>
        <v>0</v>
      </c>
    </row>
    <row r="635" spans="1:12" x14ac:dyDescent="0.25">
      <c r="A635">
        <v>634</v>
      </c>
      <c r="B635" t="s">
        <v>506</v>
      </c>
      <c r="C635" s="16">
        <v>4.5999999999999996</v>
      </c>
      <c r="D635" s="12">
        <v>1</v>
      </c>
      <c r="E635" s="16">
        <v>2.1</v>
      </c>
      <c r="F635" s="16">
        <v>4.5999999999999996</v>
      </c>
      <c r="G635" s="16">
        <v>4.5999999999999996</v>
      </c>
      <c r="H635" s="16">
        <v>0</v>
      </c>
      <c r="I635" s="12">
        <v>0</v>
      </c>
      <c r="L635" s="33">
        <f t="shared" si="9"/>
        <v>0</v>
      </c>
    </row>
    <row r="636" spans="1:12" x14ac:dyDescent="0.25">
      <c r="A636">
        <v>635</v>
      </c>
      <c r="B636" t="s">
        <v>1203</v>
      </c>
      <c r="C636" s="16">
        <v>4.625</v>
      </c>
      <c r="D636" s="12">
        <v>1</v>
      </c>
      <c r="E636" s="16">
        <v>2.1</v>
      </c>
      <c r="F636" s="16">
        <v>4.5</v>
      </c>
      <c r="G636" s="16">
        <v>4.5</v>
      </c>
      <c r="H636" s="16">
        <v>0</v>
      </c>
      <c r="I636" s="12">
        <v>0</v>
      </c>
      <c r="L636" s="33">
        <f t="shared" si="9"/>
        <v>0</v>
      </c>
    </row>
    <row r="637" spans="1:12" x14ac:dyDescent="0.25">
      <c r="A637">
        <v>636</v>
      </c>
      <c r="B637" t="s">
        <v>333</v>
      </c>
      <c r="C637" s="16">
        <v>4.6500000000000004</v>
      </c>
      <c r="D637" s="12">
        <v>1</v>
      </c>
      <c r="E637" s="16">
        <v>2.2000000000000002</v>
      </c>
      <c r="F637" s="16">
        <v>4.4000000000000004</v>
      </c>
      <c r="G637" s="16">
        <v>4.4000000000000004</v>
      </c>
      <c r="H637" s="16">
        <v>0</v>
      </c>
      <c r="I637" s="12">
        <v>0</v>
      </c>
      <c r="L637" s="33">
        <f t="shared" si="9"/>
        <v>0</v>
      </c>
    </row>
    <row r="638" spans="1:12" x14ac:dyDescent="0.25">
      <c r="A638">
        <v>637</v>
      </c>
      <c r="B638" t="s">
        <v>1299</v>
      </c>
      <c r="C638" s="16">
        <v>4.5250000000000004</v>
      </c>
      <c r="D638" s="12">
        <v>1</v>
      </c>
      <c r="E638" s="16">
        <v>2</v>
      </c>
      <c r="F638" s="16">
        <v>4.4000000000000004</v>
      </c>
      <c r="G638" s="16">
        <v>4.4000000000000004</v>
      </c>
      <c r="H638" s="16">
        <v>0</v>
      </c>
      <c r="I638" s="12">
        <v>0</v>
      </c>
      <c r="L638" s="33">
        <f t="shared" si="9"/>
        <v>0</v>
      </c>
    </row>
    <row r="639" spans="1:12" x14ac:dyDescent="0.25">
      <c r="A639">
        <v>638</v>
      </c>
      <c r="B639" t="s">
        <v>318</v>
      </c>
      <c r="C639" s="16">
        <v>4.4249999999999998</v>
      </c>
      <c r="D639" s="12">
        <v>1</v>
      </c>
      <c r="E639" s="16">
        <v>1.9</v>
      </c>
      <c r="F639" s="16">
        <v>4.3</v>
      </c>
      <c r="G639" s="16">
        <v>4.3</v>
      </c>
      <c r="H639" s="16">
        <v>0</v>
      </c>
      <c r="I639" s="12">
        <v>0</v>
      </c>
      <c r="L639" s="33">
        <f t="shared" si="9"/>
        <v>0</v>
      </c>
    </row>
    <row r="640" spans="1:12" x14ac:dyDescent="0.25">
      <c r="A640">
        <v>639</v>
      </c>
      <c r="B640" t="s">
        <v>558</v>
      </c>
      <c r="C640" s="16">
        <v>4.3250000000000002</v>
      </c>
      <c r="D640" s="12">
        <v>1</v>
      </c>
      <c r="E640" s="16">
        <v>1.8</v>
      </c>
      <c r="F640" s="16">
        <v>4.2</v>
      </c>
      <c r="G640" s="16">
        <v>4.2</v>
      </c>
      <c r="H640" s="16">
        <v>0</v>
      </c>
      <c r="I640" s="12">
        <v>0</v>
      </c>
      <c r="L640" s="33">
        <f t="shared" si="9"/>
        <v>0</v>
      </c>
    </row>
    <row r="641" spans="1:12" x14ac:dyDescent="0.25">
      <c r="A641">
        <v>640</v>
      </c>
      <c r="B641" t="s">
        <v>559</v>
      </c>
      <c r="C641" s="16">
        <v>4.2</v>
      </c>
      <c r="D641" s="12">
        <v>1</v>
      </c>
      <c r="E641" s="16">
        <v>1.7</v>
      </c>
      <c r="F641" s="16">
        <v>4.2</v>
      </c>
      <c r="G641" s="16">
        <v>4.2</v>
      </c>
      <c r="H641" s="16">
        <v>0</v>
      </c>
      <c r="I641" s="12">
        <v>0</v>
      </c>
      <c r="L641" s="33">
        <f t="shared" si="9"/>
        <v>0</v>
      </c>
    </row>
    <row r="642" spans="1:12" x14ac:dyDescent="0.25">
      <c r="A642">
        <v>641</v>
      </c>
      <c r="B642" t="s">
        <v>325</v>
      </c>
      <c r="C642" s="16">
        <v>4.2249999999999996</v>
      </c>
      <c r="D642" s="12">
        <v>1</v>
      </c>
      <c r="E642" s="16">
        <v>1.7</v>
      </c>
      <c r="F642" s="16">
        <v>4.0999999999999996</v>
      </c>
      <c r="G642" s="16">
        <v>4.0999999999999996</v>
      </c>
      <c r="H642" s="16">
        <v>0</v>
      </c>
      <c r="I642" s="12">
        <v>0</v>
      </c>
    </row>
    <row r="643" spans="1:12" x14ac:dyDescent="0.25">
      <c r="A643">
        <v>642</v>
      </c>
      <c r="B643" t="s">
        <v>324</v>
      </c>
      <c r="C643" s="16">
        <v>4.0999999999999996</v>
      </c>
      <c r="D643" s="12">
        <v>1</v>
      </c>
      <c r="E643" s="16">
        <v>1.6</v>
      </c>
      <c r="F643" s="16">
        <v>4.0999999999999996</v>
      </c>
      <c r="G643" s="16">
        <v>4.0999999999999996</v>
      </c>
      <c r="H643" s="16">
        <v>0</v>
      </c>
      <c r="I643" s="12">
        <v>0</v>
      </c>
    </row>
    <row r="644" spans="1:12" x14ac:dyDescent="0.25">
      <c r="A644">
        <v>643</v>
      </c>
      <c r="B644" t="s">
        <v>34</v>
      </c>
      <c r="C644" s="16">
        <v>4.125</v>
      </c>
      <c r="D644" s="12">
        <v>1</v>
      </c>
      <c r="E644" s="16">
        <v>1.6</v>
      </c>
      <c r="F644" s="16">
        <v>4</v>
      </c>
      <c r="G644" s="16">
        <v>4</v>
      </c>
      <c r="H644" s="16">
        <v>0</v>
      </c>
      <c r="I644" s="12">
        <v>0</v>
      </c>
    </row>
    <row r="645" spans="1:12" x14ac:dyDescent="0.25">
      <c r="A645">
        <v>644</v>
      </c>
      <c r="B645" t="s">
        <v>1204</v>
      </c>
      <c r="C645" s="16">
        <v>4</v>
      </c>
      <c r="D645" s="12">
        <v>1</v>
      </c>
      <c r="E645" s="16">
        <v>1.5</v>
      </c>
      <c r="F645" s="16">
        <v>4</v>
      </c>
      <c r="G645" s="16">
        <v>4</v>
      </c>
      <c r="H645" s="16">
        <v>0</v>
      </c>
      <c r="I645" s="12">
        <v>0</v>
      </c>
    </row>
    <row r="646" spans="1:12" x14ac:dyDescent="0.25">
      <c r="A646">
        <v>645</v>
      </c>
      <c r="B646" t="s">
        <v>1205</v>
      </c>
      <c r="C646" s="16">
        <v>3.9</v>
      </c>
      <c r="D646" s="12">
        <v>1</v>
      </c>
      <c r="E646" s="16">
        <v>1.4</v>
      </c>
      <c r="F646" s="16">
        <v>3.9</v>
      </c>
      <c r="G646" s="16">
        <v>3.9</v>
      </c>
      <c r="H646" s="16">
        <v>0</v>
      </c>
      <c r="I646" s="12">
        <v>0</v>
      </c>
    </row>
    <row r="647" spans="1:12" x14ac:dyDescent="0.25">
      <c r="A647">
        <v>646</v>
      </c>
      <c r="B647" t="s">
        <v>429</v>
      </c>
      <c r="C647" s="16">
        <v>4.05</v>
      </c>
      <c r="D647" s="12">
        <v>1</v>
      </c>
      <c r="E647" s="16">
        <v>1.5</v>
      </c>
      <c r="F647" s="16">
        <v>3.8</v>
      </c>
      <c r="G647" s="16">
        <v>3.8</v>
      </c>
      <c r="H647" s="16">
        <v>0</v>
      </c>
      <c r="I647" s="12">
        <v>0</v>
      </c>
    </row>
    <row r="648" spans="1:12" x14ac:dyDescent="0.25">
      <c r="A648">
        <v>647</v>
      </c>
      <c r="B648" t="s">
        <v>430</v>
      </c>
      <c r="C648" s="16">
        <v>3.9249999999999998</v>
      </c>
      <c r="D648" s="12">
        <v>1</v>
      </c>
      <c r="E648" s="16">
        <v>1.4</v>
      </c>
      <c r="F648" s="16">
        <v>3.8</v>
      </c>
      <c r="G648" s="16">
        <v>3.8</v>
      </c>
      <c r="H648" s="16">
        <v>0</v>
      </c>
      <c r="I648" s="12">
        <v>0</v>
      </c>
    </row>
    <row r="649" spans="1:12" x14ac:dyDescent="0.25">
      <c r="A649">
        <v>648</v>
      </c>
      <c r="B649" t="s">
        <v>433</v>
      </c>
      <c r="C649" s="16">
        <v>3.8</v>
      </c>
      <c r="D649" s="12">
        <v>1</v>
      </c>
      <c r="E649" s="16">
        <v>1.3</v>
      </c>
      <c r="F649" s="16">
        <v>3.8</v>
      </c>
      <c r="G649" s="16">
        <v>3.8</v>
      </c>
      <c r="H649" s="16">
        <v>0</v>
      </c>
      <c r="I649" s="12">
        <v>0</v>
      </c>
    </row>
    <row r="650" spans="1:12" x14ac:dyDescent="0.25">
      <c r="A650">
        <v>649</v>
      </c>
      <c r="B650" t="s">
        <v>119</v>
      </c>
      <c r="C650" s="16">
        <v>3.95</v>
      </c>
      <c r="D650" s="12">
        <v>1</v>
      </c>
      <c r="E650" s="16">
        <v>1.5</v>
      </c>
      <c r="F650" s="16">
        <v>3.7</v>
      </c>
      <c r="G650" s="16">
        <v>3.7</v>
      </c>
      <c r="H650" s="16">
        <v>0</v>
      </c>
      <c r="I650" s="12">
        <v>0</v>
      </c>
    </row>
    <row r="651" spans="1:12" x14ac:dyDescent="0.25">
      <c r="A651">
        <v>650</v>
      </c>
      <c r="B651" t="s">
        <v>322</v>
      </c>
      <c r="C651" s="16">
        <v>3.8250000000000002</v>
      </c>
      <c r="D651" s="12">
        <v>1</v>
      </c>
      <c r="E651" s="16">
        <v>1.3</v>
      </c>
      <c r="F651" s="16">
        <v>3.7</v>
      </c>
      <c r="G651" s="16">
        <v>3.7</v>
      </c>
      <c r="H651" s="16">
        <v>0</v>
      </c>
      <c r="I651" s="12">
        <v>0</v>
      </c>
    </row>
    <row r="652" spans="1:12" x14ac:dyDescent="0.25">
      <c r="A652">
        <v>651</v>
      </c>
      <c r="B652" t="s">
        <v>323</v>
      </c>
      <c r="C652" s="16">
        <v>3.7</v>
      </c>
      <c r="D652" s="12">
        <v>1</v>
      </c>
      <c r="E652" s="16">
        <v>1.2</v>
      </c>
      <c r="F652" s="16">
        <v>3.7</v>
      </c>
      <c r="G652" s="16">
        <v>3.7</v>
      </c>
      <c r="H652" s="16">
        <v>0</v>
      </c>
      <c r="I652" s="12">
        <v>0</v>
      </c>
    </row>
    <row r="653" spans="1:12" x14ac:dyDescent="0.25">
      <c r="A653">
        <v>652</v>
      </c>
      <c r="B653" t="s">
        <v>1206</v>
      </c>
      <c r="C653" s="16">
        <v>4.25</v>
      </c>
      <c r="D653" s="12">
        <v>1</v>
      </c>
      <c r="E653" s="16">
        <v>1.8</v>
      </c>
      <c r="F653" s="16">
        <v>3.5</v>
      </c>
      <c r="G653" s="16">
        <v>3.5</v>
      </c>
      <c r="H653" s="16">
        <v>0</v>
      </c>
      <c r="I653" s="12">
        <v>0</v>
      </c>
    </row>
    <row r="654" spans="1:12" x14ac:dyDescent="0.25">
      <c r="A654">
        <v>653</v>
      </c>
      <c r="B654" t="s">
        <v>311</v>
      </c>
      <c r="C654" s="16">
        <v>3.75</v>
      </c>
      <c r="D654" s="12">
        <v>1</v>
      </c>
      <c r="E654" s="16">
        <v>1.2</v>
      </c>
      <c r="F654" s="16">
        <v>3.5</v>
      </c>
      <c r="G654" s="16">
        <v>3.5</v>
      </c>
      <c r="H654" s="16">
        <v>0</v>
      </c>
      <c r="I654" s="12">
        <v>0</v>
      </c>
    </row>
    <row r="655" spans="1:12" x14ac:dyDescent="0.25">
      <c r="A655">
        <v>654</v>
      </c>
      <c r="B655" t="s">
        <v>312</v>
      </c>
      <c r="C655" s="16">
        <v>3.5</v>
      </c>
      <c r="D655" s="12">
        <v>1</v>
      </c>
      <c r="E655" s="16">
        <v>1</v>
      </c>
      <c r="F655" s="16">
        <v>3.5</v>
      </c>
      <c r="G655" s="16">
        <v>3.5</v>
      </c>
      <c r="H655" s="16">
        <v>0</v>
      </c>
      <c r="I655" s="12">
        <v>0</v>
      </c>
    </row>
    <row r="656" spans="1:12" x14ac:dyDescent="0.25">
      <c r="A656">
        <v>655</v>
      </c>
      <c r="B656" t="s">
        <v>308</v>
      </c>
      <c r="C656" s="16">
        <v>3.35</v>
      </c>
      <c r="D656" s="12">
        <v>1</v>
      </c>
      <c r="E656" s="16">
        <v>0.8</v>
      </c>
      <c r="F656" s="16">
        <v>3.1</v>
      </c>
      <c r="G656" s="16">
        <v>3.1</v>
      </c>
      <c r="H656" s="16">
        <v>0</v>
      </c>
      <c r="I656" s="12">
        <v>0</v>
      </c>
    </row>
    <row r="657" spans="1:9" x14ac:dyDescent="0.25">
      <c r="A657">
        <v>656</v>
      </c>
      <c r="B657" t="s">
        <v>326</v>
      </c>
      <c r="C657" s="16">
        <v>2.5499999999999998</v>
      </c>
      <c r="D657" s="12">
        <v>1</v>
      </c>
      <c r="E657" s="16">
        <v>0</v>
      </c>
      <c r="F657" s="16">
        <v>2.2999999999999998</v>
      </c>
      <c r="G657" s="16">
        <v>2.2999999999999998</v>
      </c>
      <c r="H657" s="16">
        <v>0</v>
      </c>
      <c r="I657" s="12">
        <v>0</v>
      </c>
    </row>
    <row r="658" spans="1:9" x14ac:dyDescent="0.25">
      <c r="A658">
        <v>657</v>
      </c>
      <c r="B658" t="s">
        <v>327</v>
      </c>
      <c r="C658" s="16">
        <v>2.4249999999999998</v>
      </c>
      <c r="D658" s="12">
        <v>1</v>
      </c>
      <c r="E658" s="16">
        <v>-0.1</v>
      </c>
      <c r="F658" s="16">
        <v>2.2999999999999998</v>
      </c>
      <c r="G658" s="16">
        <v>2.2999999999999998</v>
      </c>
      <c r="H658" s="16">
        <v>0</v>
      </c>
      <c r="I658" s="12">
        <v>0</v>
      </c>
    </row>
    <row r="659" spans="1:9" x14ac:dyDescent="0.25">
      <c r="A659">
        <v>658</v>
      </c>
      <c r="B659" t="s">
        <v>328</v>
      </c>
      <c r="C659" s="16">
        <v>2.2999999999999998</v>
      </c>
      <c r="D659" s="12">
        <v>1</v>
      </c>
      <c r="E659" s="16">
        <v>-0.2</v>
      </c>
      <c r="F659" s="16">
        <v>2.2999999999999998</v>
      </c>
      <c r="G659" s="16">
        <v>2.2999999999999998</v>
      </c>
      <c r="H659" s="16">
        <v>0</v>
      </c>
      <c r="I659" s="12">
        <v>0</v>
      </c>
    </row>
    <row r="660" spans="1:9" x14ac:dyDescent="0.25">
      <c r="A660">
        <v>659</v>
      </c>
      <c r="B660" t="s">
        <v>132</v>
      </c>
      <c r="C660" s="16">
        <v>2.0499999999999998</v>
      </c>
      <c r="D660" s="12">
        <v>1</v>
      </c>
      <c r="E660" s="16">
        <v>-0.5</v>
      </c>
      <c r="F660" s="16">
        <v>1.8</v>
      </c>
      <c r="G660" s="16">
        <v>1.8</v>
      </c>
      <c r="H660" s="16">
        <v>0</v>
      </c>
      <c r="I660" s="12">
        <v>0</v>
      </c>
    </row>
    <row r="661" spans="1:9" x14ac:dyDescent="0.25">
      <c r="A661">
        <v>660</v>
      </c>
      <c r="B661" t="s">
        <v>133</v>
      </c>
      <c r="C661" s="16">
        <v>1.925</v>
      </c>
      <c r="D661" s="12">
        <v>1</v>
      </c>
      <c r="E661" s="16">
        <v>-0.6</v>
      </c>
      <c r="F661" s="16">
        <v>1.8</v>
      </c>
      <c r="G661" s="16">
        <v>1.8</v>
      </c>
      <c r="H661" s="16">
        <v>0</v>
      </c>
      <c r="I661" s="12">
        <v>0</v>
      </c>
    </row>
    <row r="662" spans="1:9" x14ac:dyDescent="0.25">
      <c r="A662">
        <v>661</v>
      </c>
      <c r="B662" t="s">
        <v>606</v>
      </c>
      <c r="C662" s="16">
        <v>1.75</v>
      </c>
      <c r="D662" s="12">
        <v>1</v>
      </c>
      <c r="E662" s="16">
        <v>-0.8</v>
      </c>
      <c r="F662" s="16">
        <v>1.5</v>
      </c>
      <c r="G662" s="16">
        <v>1.5</v>
      </c>
      <c r="H662" s="16">
        <v>0</v>
      </c>
      <c r="I662" s="12">
        <v>0</v>
      </c>
    </row>
    <row r="663" spans="1:9" x14ac:dyDescent="0.25">
      <c r="A663">
        <v>662</v>
      </c>
      <c r="B663" t="s">
        <v>607</v>
      </c>
      <c r="C663" s="16">
        <v>1.625</v>
      </c>
      <c r="D663" s="12">
        <v>1</v>
      </c>
      <c r="E663" s="16">
        <v>-0.9</v>
      </c>
      <c r="F663" s="16">
        <v>1.5</v>
      </c>
      <c r="G663" s="16">
        <v>1.5</v>
      </c>
      <c r="H663" s="16">
        <v>0</v>
      </c>
      <c r="I663" s="12">
        <v>0</v>
      </c>
    </row>
    <row r="664" spans="1:9" x14ac:dyDescent="0.25">
      <c r="A664">
        <v>663</v>
      </c>
      <c r="B664" t="s">
        <v>608</v>
      </c>
      <c r="C664" s="16">
        <v>1.5</v>
      </c>
      <c r="D664" s="12">
        <v>1</v>
      </c>
      <c r="E664" s="16">
        <v>-1</v>
      </c>
      <c r="F664" s="16">
        <v>1.5</v>
      </c>
      <c r="G664" s="16">
        <v>1.5</v>
      </c>
      <c r="H664" s="16">
        <v>0</v>
      </c>
      <c r="I664" s="12">
        <v>0</v>
      </c>
    </row>
    <row r="665" spans="1:9" x14ac:dyDescent="0.25">
      <c r="A665">
        <v>664</v>
      </c>
      <c r="B665" t="s">
        <v>331</v>
      </c>
      <c r="C665" s="16">
        <v>1.425</v>
      </c>
      <c r="D665" s="12">
        <v>1</v>
      </c>
      <c r="E665" s="16">
        <v>-1.1000000000000001</v>
      </c>
      <c r="F665" s="16">
        <v>1.3</v>
      </c>
      <c r="G665" s="16">
        <v>1.3</v>
      </c>
      <c r="H665" s="16">
        <v>0</v>
      </c>
      <c r="I665" s="12">
        <v>0</v>
      </c>
    </row>
    <row r="666" spans="1:9" x14ac:dyDescent="0.25">
      <c r="A666">
        <v>665</v>
      </c>
      <c r="B666" t="s">
        <v>332</v>
      </c>
      <c r="C666" s="16">
        <v>1.3</v>
      </c>
      <c r="D666" s="12">
        <v>1</v>
      </c>
      <c r="E666" s="16">
        <v>-1.2</v>
      </c>
      <c r="F666" s="16">
        <v>1.3</v>
      </c>
      <c r="G666" s="16">
        <v>1.3</v>
      </c>
      <c r="H666" s="16">
        <v>0</v>
      </c>
      <c r="I666" s="12">
        <v>0</v>
      </c>
    </row>
    <row r="667" spans="1:9" x14ac:dyDescent="0.25">
      <c r="A667">
        <v>666</v>
      </c>
      <c r="B667" t="s">
        <v>337</v>
      </c>
      <c r="C667" s="16">
        <v>1.2250000000000001</v>
      </c>
      <c r="D667" s="12">
        <v>1</v>
      </c>
      <c r="E667" s="16">
        <v>-1.3</v>
      </c>
      <c r="F667" s="16">
        <v>1.1000000000000001</v>
      </c>
      <c r="G667" s="16">
        <v>1.1000000000000001</v>
      </c>
      <c r="H667" s="16">
        <v>0</v>
      </c>
      <c r="I667" s="12">
        <v>0</v>
      </c>
    </row>
    <row r="668" spans="1:9" x14ac:dyDescent="0.25">
      <c r="A668">
        <v>667</v>
      </c>
      <c r="B668" t="s">
        <v>140</v>
      </c>
      <c r="C668" s="16">
        <v>1.65</v>
      </c>
      <c r="D668" s="12">
        <v>1</v>
      </c>
      <c r="E668" s="16">
        <v>-0.8</v>
      </c>
      <c r="F668" s="16">
        <v>0.9</v>
      </c>
      <c r="G668" s="16">
        <v>0.9</v>
      </c>
      <c r="H668" s="16">
        <v>0</v>
      </c>
      <c r="I668" s="12">
        <v>0</v>
      </c>
    </row>
    <row r="669" spans="1:9" x14ac:dyDescent="0.25">
      <c r="A669">
        <v>668</v>
      </c>
      <c r="B669" t="s">
        <v>339</v>
      </c>
      <c r="C669" s="16">
        <v>1.0249999999999999</v>
      </c>
      <c r="D669" s="12">
        <v>1</v>
      </c>
      <c r="E669" s="16">
        <v>-1.5</v>
      </c>
      <c r="F669" s="16">
        <v>0.9</v>
      </c>
      <c r="G669" s="16">
        <v>0.9</v>
      </c>
      <c r="H669" s="16">
        <v>0</v>
      </c>
      <c r="I669" s="12">
        <v>0</v>
      </c>
    </row>
    <row r="670" spans="1:9" x14ac:dyDescent="0.25">
      <c r="A670">
        <v>669</v>
      </c>
      <c r="B670" t="s">
        <v>340</v>
      </c>
      <c r="C670" s="16">
        <v>0.9</v>
      </c>
      <c r="D670" s="12">
        <v>1</v>
      </c>
      <c r="E670" s="16">
        <v>-1.6</v>
      </c>
      <c r="F670" s="16">
        <v>0.9</v>
      </c>
      <c r="G670" s="16">
        <v>0.9</v>
      </c>
      <c r="H670" s="16">
        <v>0</v>
      </c>
      <c r="I670"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70">
    <sortCondition descending="1" ref="J2:J67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tabSelected="1"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356</v>
      </c>
      <c r="C1" s="18" t="s">
        <v>1</v>
      </c>
      <c r="D1" s="17" t="s">
        <v>143</v>
      </c>
      <c r="E1" s="17" t="s">
        <v>144</v>
      </c>
      <c r="F1" s="17" t="s">
        <v>756</v>
      </c>
    </row>
    <row r="2" spans="1:6" x14ac:dyDescent="0.25">
      <c r="A2">
        <v>1</v>
      </c>
      <c r="B2" t="s">
        <v>648</v>
      </c>
      <c r="C2" s="16">
        <v>73.2</v>
      </c>
      <c r="D2" s="12">
        <v>8</v>
      </c>
      <c r="E2" s="28">
        <v>9</v>
      </c>
      <c r="F2" s="28">
        <v>8.4</v>
      </c>
    </row>
    <row r="3" spans="1:6" x14ac:dyDescent="0.25">
      <c r="A3">
        <v>2</v>
      </c>
      <c r="B3" t="s">
        <v>672</v>
      </c>
      <c r="C3" s="16">
        <v>126.7</v>
      </c>
      <c r="D3" s="12">
        <v>15</v>
      </c>
      <c r="E3" s="28">
        <v>8.8000000000000007</v>
      </c>
      <c r="F3" s="28">
        <v>7.9</v>
      </c>
    </row>
    <row r="4" spans="1:6" x14ac:dyDescent="0.25">
      <c r="A4">
        <v>3</v>
      </c>
      <c r="B4" t="s">
        <v>226</v>
      </c>
      <c r="C4" s="16">
        <v>200.1</v>
      </c>
      <c r="D4" s="12">
        <v>24</v>
      </c>
      <c r="E4" s="28">
        <v>8.8000000000000007</v>
      </c>
      <c r="F4" s="28">
        <v>7.6</v>
      </c>
    </row>
    <row r="5" spans="1:6" x14ac:dyDescent="0.25">
      <c r="A5">
        <v>4</v>
      </c>
      <c r="B5" t="s">
        <v>215</v>
      </c>
      <c r="C5" s="16">
        <v>496.6</v>
      </c>
      <c r="D5" s="12">
        <v>61</v>
      </c>
      <c r="E5" s="28">
        <v>8.5</v>
      </c>
      <c r="F5" s="28">
        <v>7.4</v>
      </c>
    </row>
    <row r="6" spans="1:6" x14ac:dyDescent="0.25">
      <c r="A6">
        <v>5</v>
      </c>
      <c r="B6" t="s">
        <v>222</v>
      </c>
      <c r="C6" s="16">
        <v>301.39999999999998</v>
      </c>
      <c r="D6" s="12">
        <v>37</v>
      </c>
      <c r="E6" s="28">
        <v>8.4</v>
      </c>
      <c r="F6" s="28">
        <v>7.6</v>
      </c>
    </row>
    <row r="7" spans="1:6" x14ac:dyDescent="0.25">
      <c r="A7">
        <v>6</v>
      </c>
      <c r="B7" t="s">
        <v>220</v>
      </c>
      <c r="C7" s="16">
        <v>164.4</v>
      </c>
      <c r="D7" s="12">
        <v>21</v>
      </c>
      <c r="E7" s="28">
        <v>8.3000000000000007</v>
      </c>
      <c r="F7" s="28">
        <v>7.3</v>
      </c>
    </row>
    <row r="8" spans="1:6" x14ac:dyDescent="0.25">
      <c r="A8">
        <v>7</v>
      </c>
      <c r="B8" t="s">
        <v>224</v>
      </c>
      <c r="C8" s="16">
        <v>27.8</v>
      </c>
      <c r="D8" s="12">
        <v>3</v>
      </c>
      <c r="E8" s="28">
        <v>8.3000000000000007</v>
      </c>
      <c r="F8" s="28">
        <v>8.6</v>
      </c>
    </row>
    <row r="9" spans="1:6" x14ac:dyDescent="0.25">
      <c r="A9">
        <v>8</v>
      </c>
      <c r="B9" t="s">
        <v>217</v>
      </c>
      <c r="C9" s="16">
        <v>507.1</v>
      </c>
      <c r="D9" s="12">
        <v>64</v>
      </c>
      <c r="E9" s="28">
        <v>8.1999999999999993</v>
      </c>
      <c r="F9" s="28">
        <v>7.3</v>
      </c>
    </row>
    <row r="10" spans="1:6" x14ac:dyDescent="0.25">
      <c r="A10">
        <v>9</v>
      </c>
      <c r="B10" t="s">
        <v>671</v>
      </c>
      <c r="C10" s="16">
        <v>19.399999999999999</v>
      </c>
      <c r="D10" s="12">
        <v>2</v>
      </c>
      <c r="E10" s="28">
        <v>8.1999999999999993</v>
      </c>
      <c r="F10" s="28">
        <v>9.1999999999999993</v>
      </c>
    </row>
    <row r="11" spans="1:6" x14ac:dyDescent="0.25">
      <c r="A11">
        <v>10</v>
      </c>
      <c r="B11" t="s">
        <v>208</v>
      </c>
      <c r="C11" s="16">
        <v>817.5</v>
      </c>
      <c r="D11" s="12">
        <v>102</v>
      </c>
      <c r="E11" s="28">
        <v>8.1999999999999993</v>
      </c>
      <c r="F11" s="28">
        <v>7.3</v>
      </c>
    </row>
    <row r="12" spans="1:6" x14ac:dyDescent="0.25">
      <c r="A12">
        <v>11</v>
      </c>
      <c r="B12" t="s">
        <v>223</v>
      </c>
      <c r="C12" s="16">
        <v>482</v>
      </c>
      <c r="D12" s="12">
        <v>62</v>
      </c>
      <c r="E12" s="28">
        <v>8.1</v>
      </c>
      <c r="F12" s="28">
        <v>7.1</v>
      </c>
    </row>
    <row r="13" spans="1:6" x14ac:dyDescent="0.25">
      <c r="A13">
        <v>12</v>
      </c>
      <c r="B13" t="s">
        <v>209</v>
      </c>
      <c r="C13" s="16">
        <v>1128.7</v>
      </c>
      <c r="D13" s="12">
        <v>143</v>
      </c>
      <c r="E13" s="28">
        <v>8</v>
      </c>
      <c r="F13" s="28">
        <v>7.3</v>
      </c>
    </row>
    <row r="14" spans="1:6" x14ac:dyDescent="0.25">
      <c r="A14">
        <v>13</v>
      </c>
      <c r="B14" t="s">
        <v>216</v>
      </c>
      <c r="C14" s="16">
        <v>134.6</v>
      </c>
      <c r="D14" s="12">
        <v>18</v>
      </c>
      <c r="E14" s="28">
        <v>7.8</v>
      </c>
      <c r="F14" s="28">
        <v>6.9</v>
      </c>
    </row>
    <row r="15" spans="1:6" x14ac:dyDescent="0.25">
      <c r="A15">
        <v>14</v>
      </c>
      <c r="B15" t="s">
        <v>951</v>
      </c>
      <c r="C15" s="16">
        <v>346.9</v>
      </c>
      <c r="D15" s="12">
        <v>46</v>
      </c>
      <c r="E15" s="28">
        <v>7.8</v>
      </c>
      <c r="F15" s="28">
        <v>7</v>
      </c>
    </row>
    <row r="16" spans="1:6" x14ac:dyDescent="0.25">
      <c r="A16">
        <v>15</v>
      </c>
      <c r="B16" t="s">
        <v>227</v>
      </c>
      <c r="C16" s="16">
        <v>40.200000000000003</v>
      </c>
      <c r="D16" s="12">
        <v>5</v>
      </c>
      <c r="E16" s="28">
        <v>7.7</v>
      </c>
      <c r="F16" s="28">
        <v>7.4</v>
      </c>
    </row>
    <row r="17" spans="1:6" x14ac:dyDescent="0.25">
      <c r="A17">
        <v>16</v>
      </c>
      <c r="B17" t="s">
        <v>670</v>
      </c>
      <c r="C17" s="16">
        <v>39.299999999999997</v>
      </c>
      <c r="D17" s="12">
        <v>5</v>
      </c>
      <c r="E17" s="28">
        <v>7.6</v>
      </c>
      <c r="F17" s="28">
        <v>7.3</v>
      </c>
    </row>
    <row r="18" spans="1:6" x14ac:dyDescent="0.25">
      <c r="A18">
        <v>17</v>
      </c>
      <c r="B18" t="s">
        <v>851</v>
      </c>
      <c r="C18" s="16">
        <v>32.799999999999997</v>
      </c>
      <c r="D18" s="12">
        <v>4</v>
      </c>
      <c r="E18" s="28">
        <v>7.5</v>
      </c>
      <c r="F18" s="28">
        <v>7.6</v>
      </c>
    </row>
    <row r="19" spans="1:6" x14ac:dyDescent="0.25">
      <c r="A19">
        <v>18</v>
      </c>
      <c r="B19" t="s">
        <v>1155</v>
      </c>
      <c r="C19" s="16">
        <v>69.099999999999994</v>
      </c>
      <c r="D19" s="12">
        <v>9</v>
      </c>
      <c r="E19" s="28">
        <v>7.5</v>
      </c>
      <c r="F19" s="28">
        <v>7.2</v>
      </c>
    </row>
    <row r="20" spans="1:6" x14ac:dyDescent="0.25">
      <c r="A20">
        <v>19</v>
      </c>
      <c r="B20" t="s">
        <v>225</v>
      </c>
      <c r="C20" s="16">
        <v>67.7</v>
      </c>
      <c r="D20" s="12">
        <v>9</v>
      </c>
      <c r="E20" s="28">
        <v>7.4</v>
      </c>
      <c r="F20" s="28">
        <v>7</v>
      </c>
    </row>
    <row r="21" spans="1:6" x14ac:dyDescent="0.25">
      <c r="A21">
        <v>20</v>
      </c>
      <c r="B21" t="s">
        <v>585</v>
      </c>
      <c r="C21" s="16">
        <v>32.6</v>
      </c>
      <c r="D21" s="12">
        <v>4</v>
      </c>
      <c r="E21" s="28">
        <v>7.4</v>
      </c>
      <c r="F21" s="28">
        <v>7.4</v>
      </c>
    </row>
    <row r="22" spans="1:6" x14ac:dyDescent="0.25">
      <c r="A22">
        <v>21</v>
      </c>
      <c r="B22" t="s">
        <v>210</v>
      </c>
      <c r="C22" s="16">
        <v>324.39999999999998</v>
      </c>
      <c r="D22" s="12">
        <v>46</v>
      </c>
      <c r="E22" s="28">
        <v>7.3</v>
      </c>
      <c r="F22" s="28">
        <v>6.3</v>
      </c>
    </row>
    <row r="23" spans="1:6" x14ac:dyDescent="0.25">
      <c r="A23">
        <v>22</v>
      </c>
      <c r="B23" t="s">
        <v>219</v>
      </c>
      <c r="C23" s="16">
        <v>570.1</v>
      </c>
      <c r="D23" s="12">
        <v>81</v>
      </c>
      <c r="E23" s="28">
        <v>7.3</v>
      </c>
      <c r="F23" s="28">
        <v>6.3</v>
      </c>
    </row>
    <row r="24" spans="1:6" x14ac:dyDescent="0.25">
      <c r="A24">
        <v>23</v>
      </c>
      <c r="B24" t="s">
        <v>673</v>
      </c>
      <c r="C24" s="16">
        <v>38.1</v>
      </c>
      <c r="D24" s="12">
        <v>5</v>
      </c>
      <c r="E24" s="28">
        <v>7.3</v>
      </c>
      <c r="F24" s="28">
        <v>7.1</v>
      </c>
    </row>
    <row r="25" spans="1:6" x14ac:dyDescent="0.25">
      <c r="A25">
        <v>24</v>
      </c>
      <c r="B25" t="s">
        <v>221</v>
      </c>
      <c r="C25" s="16">
        <v>109.2</v>
      </c>
      <c r="D25" s="12">
        <v>16</v>
      </c>
      <c r="E25" s="28">
        <v>7.1</v>
      </c>
      <c r="F25" s="28">
        <v>6.2</v>
      </c>
    </row>
    <row r="26" spans="1:6" x14ac:dyDescent="0.25">
      <c r="A26">
        <v>25</v>
      </c>
      <c r="B26" t="s">
        <v>247</v>
      </c>
      <c r="C26" s="16">
        <v>16.5</v>
      </c>
      <c r="D26" s="12">
        <v>2</v>
      </c>
      <c r="E26" s="28">
        <v>6.8</v>
      </c>
      <c r="F26" s="28">
        <v>7.6</v>
      </c>
    </row>
    <row r="27" spans="1:6" x14ac:dyDescent="0.25">
      <c r="A27">
        <v>26</v>
      </c>
      <c r="B27" t="s">
        <v>662</v>
      </c>
      <c r="C27" s="16">
        <v>22.7</v>
      </c>
      <c r="D27" s="12">
        <v>3</v>
      </c>
      <c r="E27" s="28">
        <v>6.6</v>
      </c>
      <c r="F27" s="28">
        <v>6.9</v>
      </c>
    </row>
    <row r="28" spans="1:6" x14ac:dyDescent="0.25">
      <c r="A28">
        <v>27</v>
      </c>
      <c r="B28" t="s">
        <v>396</v>
      </c>
      <c r="C28" s="16">
        <v>20.6</v>
      </c>
      <c r="D28" s="12">
        <v>3</v>
      </c>
      <c r="E28" s="28">
        <v>5.9</v>
      </c>
      <c r="F28" s="28">
        <v>6.1</v>
      </c>
    </row>
    <row r="29" spans="1:6" x14ac:dyDescent="0.25">
      <c r="A29">
        <v>28</v>
      </c>
      <c r="B29" t="s">
        <v>586</v>
      </c>
      <c r="C29" s="16">
        <v>13.1</v>
      </c>
      <c r="D29" s="12">
        <v>2</v>
      </c>
      <c r="E29" s="28">
        <v>5</v>
      </c>
      <c r="F29" s="28">
        <v>5.9</v>
      </c>
    </row>
    <row r="30" spans="1:6" x14ac:dyDescent="0.25">
      <c r="A30">
        <v>29</v>
      </c>
      <c r="B30" t="s">
        <v>1036</v>
      </c>
      <c r="C30" s="16">
        <v>7.9</v>
      </c>
      <c r="D30" s="12">
        <v>1</v>
      </c>
      <c r="E30" s="28">
        <v>4.9000000000000004</v>
      </c>
      <c r="F30" s="28">
        <v>7.1</v>
      </c>
    </row>
    <row r="31" spans="1:6" x14ac:dyDescent="0.25">
      <c r="A31">
        <v>30</v>
      </c>
      <c r="B31" t="s">
        <v>1045</v>
      </c>
      <c r="C31" s="16">
        <v>7.6</v>
      </c>
      <c r="D31" s="12">
        <v>1</v>
      </c>
      <c r="E31" s="28">
        <v>4.5999999999999996</v>
      </c>
      <c r="F31" s="28">
        <v>7.1</v>
      </c>
    </row>
    <row r="32" spans="1:6" x14ac:dyDescent="0.25">
      <c r="A32">
        <v>31</v>
      </c>
      <c r="B32" t="s">
        <v>674</v>
      </c>
      <c r="C32" s="16">
        <v>11</v>
      </c>
      <c r="D32" s="12">
        <v>2</v>
      </c>
      <c r="E32" s="28">
        <v>4</v>
      </c>
      <c r="F32" s="28">
        <v>4.9000000000000004</v>
      </c>
    </row>
    <row r="33" spans="1:6" x14ac:dyDescent="0.25">
      <c r="A33">
        <v>32</v>
      </c>
      <c r="B33" t="s">
        <v>862</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69"/>
  <sheetViews>
    <sheetView workbookViewId="0">
      <selection activeCell="A2" sqref="A2:F169"/>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756</v>
      </c>
    </row>
    <row r="2" spans="1:6" x14ac:dyDescent="0.25">
      <c r="A2">
        <v>1</v>
      </c>
      <c r="B2" t="s">
        <v>38</v>
      </c>
      <c r="C2" s="16">
        <v>59.725999999999999</v>
      </c>
      <c r="D2" s="12">
        <v>7</v>
      </c>
      <c r="E2" s="16">
        <v>9.4</v>
      </c>
      <c r="F2" s="12">
        <v>8.5</v>
      </c>
    </row>
    <row r="3" spans="1:6" x14ac:dyDescent="0.25">
      <c r="A3">
        <v>2</v>
      </c>
      <c r="B3" s="5" t="s">
        <v>1056</v>
      </c>
      <c r="C3" s="16">
        <v>39.922000000000004</v>
      </c>
      <c r="D3" s="12">
        <v>5</v>
      </c>
      <c r="E3" s="16">
        <v>9.1999999999999993</v>
      </c>
      <c r="F3" s="12">
        <v>8</v>
      </c>
    </row>
    <row r="4" spans="1:6" x14ac:dyDescent="0.25">
      <c r="A4">
        <v>3</v>
      </c>
      <c r="B4" t="s">
        <v>1112</v>
      </c>
      <c r="C4" s="16">
        <v>33.908999999999999</v>
      </c>
      <c r="D4" s="12">
        <v>4</v>
      </c>
      <c r="E4" s="16">
        <v>9.1</v>
      </c>
      <c r="F4" s="12">
        <v>8.5</v>
      </c>
    </row>
    <row r="5" spans="1:6" x14ac:dyDescent="0.25">
      <c r="A5">
        <v>4</v>
      </c>
      <c r="B5" t="s">
        <v>61</v>
      </c>
      <c r="C5" s="16">
        <v>60.019999999999996</v>
      </c>
      <c r="D5" s="12">
        <v>8</v>
      </c>
      <c r="E5" s="16">
        <v>9.1</v>
      </c>
      <c r="F5" s="12">
        <v>7.5</v>
      </c>
    </row>
    <row r="6" spans="1:6" x14ac:dyDescent="0.25">
      <c r="A6">
        <v>5</v>
      </c>
      <c r="B6" t="s">
        <v>64</v>
      </c>
      <c r="C6" s="16">
        <v>39.708999999999996</v>
      </c>
      <c r="D6" s="12">
        <v>5</v>
      </c>
      <c r="E6" s="16">
        <v>9.1</v>
      </c>
      <c r="F6" s="12">
        <v>7.9</v>
      </c>
    </row>
    <row r="7" spans="1:6" x14ac:dyDescent="0.25">
      <c r="A7">
        <v>6</v>
      </c>
      <c r="B7" t="s">
        <v>36</v>
      </c>
      <c r="C7" s="16">
        <v>48.021999999999998</v>
      </c>
      <c r="D7" s="12">
        <v>6</v>
      </c>
      <c r="E7" s="16">
        <v>9</v>
      </c>
      <c r="F7" s="12">
        <v>8</v>
      </c>
    </row>
    <row r="8" spans="1:6" x14ac:dyDescent="0.25">
      <c r="A8">
        <v>7</v>
      </c>
      <c r="B8" t="s">
        <v>368</v>
      </c>
      <c r="C8" s="16">
        <v>32.512</v>
      </c>
      <c r="D8" s="12">
        <v>4</v>
      </c>
      <c r="E8" s="16">
        <v>8.8000000000000007</v>
      </c>
      <c r="F8" s="12">
        <v>8.1</v>
      </c>
    </row>
    <row r="9" spans="1:6" x14ac:dyDescent="0.25">
      <c r="A9">
        <v>8</v>
      </c>
      <c r="B9" t="s">
        <v>1025</v>
      </c>
      <c r="C9" s="16">
        <v>18.803000000000001</v>
      </c>
      <c r="D9" s="12">
        <v>2</v>
      </c>
      <c r="E9" s="16">
        <v>8.1999999999999993</v>
      </c>
      <c r="F9" s="12">
        <v>9.4</v>
      </c>
    </row>
    <row r="10" spans="1:6" x14ac:dyDescent="0.25">
      <c r="A10">
        <v>9</v>
      </c>
      <c r="B10" t="s">
        <v>764</v>
      </c>
      <c r="C10" s="16">
        <v>34.821999999999996</v>
      </c>
      <c r="D10" s="12">
        <v>5</v>
      </c>
      <c r="E10" s="16">
        <v>8.1999999999999993</v>
      </c>
      <c r="F10" s="12">
        <v>7</v>
      </c>
    </row>
    <row r="11" spans="1:6" x14ac:dyDescent="0.25">
      <c r="A11">
        <v>10</v>
      </c>
      <c r="B11" t="s">
        <v>343</v>
      </c>
      <c r="C11" s="16">
        <v>34.615000000000002</v>
      </c>
      <c r="D11" s="12">
        <v>5</v>
      </c>
      <c r="E11" s="16">
        <v>8.1</v>
      </c>
      <c r="F11" s="12">
        <v>6.9</v>
      </c>
    </row>
    <row r="12" spans="1:6" x14ac:dyDescent="0.25">
      <c r="A12">
        <v>11</v>
      </c>
      <c r="B12" t="s">
        <v>233</v>
      </c>
      <c r="C12" s="16">
        <v>18.405000000000001</v>
      </c>
      <c r="D12" s="12">
        <v>2</v>
      </c>
      <c r="E12" s="16">
        <v>8</v>
      </c>
      <c r="F12" s="12">
        <v>9.1999999999999993</v>
      </c>
    </row>
    <row r="13" spans="1:6" x14ac:dyDescent="0.25">
      <c r="A13">
        <v>12</v>
      </c>
      <c r="B13" t="s">
        <v>1018</v>
      </c>
      <c r="C13" s="16">
        <v>26.408999999999999</v>
      </c>
      <c r="D13" s="12">
        <v>3</v>
      </c>
      <c r="E13" s="16">
        <v>8</v>
      </c>
      <c r="F13" s="12">
        <v>8.8000000000000007</v>
      </c>
    </row>
    <row r="14" spans="1:6" x14ac:dyDescent="0.25">
      <c r="A14">
        <v>13</v>
      </c>
      <c r="B14" t="s">
        <v>35</v>
      </c>
      <c r="C14" s="16">
        <v>67.816000000000003</v>
      </c>
      <c r="D14" s="12">
        <v>10</v>
      </c>
      <c r="E14" s="16">
        <v>8</v>
      </c>
      <c r="F14" s="12">
        <v>6.8</v>
      </c>
    </row>
    <row r="15" spans="1:6" x14ac:dyDescent="0.25">
      <c r="A15">
        <v>14</v>
      </c>
      <c r="B15" t="s">
        <v>1207</v>
      </c>
      <c r="C15" s="16">
        <v>18.206</v>
      </c>
      <c r="D15" s="12">
        <v>2</v>
      </c>
      <c r="E15" s="16">
        <v>7.9</v>
      </c>
      <c r="F15" s="12">
        <v>9.1</v>
      </c>
    </row>
    <row r="16" spans="1:6" x14ac:dyDescent="0.25">
      <c r="A16">
        <v>15</v>
      </c>
      <c r="B16" t="s">
        <v>505</v>
      </c>
      <c r="C16" s="16">
        <v>40.719000000000001</v>
      </c>
      <c r="D16" s="12">
        <v>6</v>
      </c>
      <c r="E16" s="16">
        <v>7.8</v>
      </c>
      <c r="F16" s="12">
        <v>6.8</v>
      </c>
    </row>
    <row r="17" spans="1:6" x14ac:dyDescent="0.25">
      <c r="A17">
        <v>16</v>
      </c>
      <c r="B17" t="s">
        <v>971</v>
      </c>
      <c r="C17" s="16">
        <v>25.913000000000004</v>
      </c>
      <c r="D17" s="12">
        <v>3</v>
      </c>
      <c r="E17" s="16">
        <v>7.8</v>
      </c>
      <c r="F17" s="12">
        <v>8.6</v>
      </c>
    </row>
    <row r="18" spans="1:6" x14ac:dyDescent="0.25">
      <c r="A18">
        <v>17</v>
      </c>
      <c r="B18" t="s">
        <v>54</v>
      </c>
      <c r="C18" s="16">
        <v>25.212000000000003</v>
      </c>
      <c r="D18" s="12">
        <v>3</v>
      </c>
      <c r="E18" s="16">
        <v>7.6</v>
      </c>
      <c r="F18" s="12">
        <v>8.4</v>
      </c>
    </row>
    <row r="19" spans="1:6" x14ac:dyDescent="0.25">
      <c r="A19">
        <v>18</v>
      </c>
      <c r="B19" t="s">
        <v>20</v>
      </c>
      <c r="C19" s="16">
        <v>25.318000000000001</v>
      </c>
      <c r="D19" s="12">
        <v>3</v>
      </c>
      <c r="E19" s="16">
        <v>7.6</v>
      </c>
      <c r="F19" s="12">
        <v>8.4</v>
      </c>
    </row>
    <row r="20" spans="1:6" x14ac:dyDescent="0.25">
      <c r="A20">
        <v>19</v>
      </c>
      <c r="B20" t="s">
        <v>1151</v>
      </c>
      <c r="C20" s="16">
        <v>28.018000000000001</v>
      </c>
      <c r="D20" s="12">
        <v>4</v>
      </c>
      <c r="E20" s="16">
        <v>7.6</v>
      </c>
      <c r="F20" s="12">
        <v>7</v>
      </c>
    </row>
    <row r="21" spans="1:6" x14ac:dyDescent="0.25">
      <c r="A21">
        <v>20</v>
      </c>
      <c r="B21" t="s">
        <v>715</v>
      </c>
      <c r="C21" s="16">
        <v>17.506999999999998</v>
      </c>
      <c r="D21" s="12">
        <v>2</v>
      </c>
      <c r="E21" s="16">
        <v>7.5</v>
      </c>
      <c r="F21" s="12">
        <v>8.8000000000000007</v>
      </c>
    </row>
    <row r="22" spans="1:6" x14ac:dyDescent="0.25">
      <c r="A22">
        <v>21</v>
      </c>
      <c r="B22" t="s">
        <v>39</v>
      </c>
      <c r="C22" s="16">
        <v>17.411000000000001</v>
      </c>
      <c r="D22" s="12">
        <v>2</v>
      </c>
      <c r="E22" s="16">
        <v>7.5</v>
      </c>
      <c r="F22" s="12">
        <v>8.6999999999999993</v>
      </c>
    </row>
    <row r="23" spans="1:6" x14ac:dyDescent="0.25">
      <c r="A23">
        <v>22</v>
      </c>
      <c r="B23" t="s">
        <v>155</v>
      </c>
      <c r="C23" s="16">
        <v>30.713000000000001</v>
      </c>
      <c r="D23" s="12">
        <v>5</v>
      </c>
      <c r="E23" s="16">
        <v>7.3</v>
      </c>
      <c r="F23" s="12">
        <v>6.1</v>
      </c>
    </row>
    <row r="24" spans="1:6" x14ac:dyDescent="0.25">
      <c r="A24">
        <v>23</v>
      </c>
      <c r="B24" s="5" t="s">
        <v>341</v>
      </c>
      <c r="C24" s="16">
        <v>26.614999999999998</v>
      </c>
      <c r="D24" s="12">
        <v>4</v>
      </c>
      <c r="E24" s="16">
        <v>7.3</v>
      </c>
      <c r="F24" s="12">
        <v>6.7</v>
      </c>
    </row>
    <row r="25" spans="1:6" x14ac:dyDescent="0.25">
      <c r="A25">
        <v>24</v>
      </c>
      <c r="B25" t="s">
        <v>37</v>
      </c>
      <c r="C25" s="16">
        <v>9.7029999999999994</v>
      </c>
      <c r="D25" s="12">
        <v>1</v>
      </c>
      <c r="E25" s="16">
        <v>7.2</v>
      </c>
      <c r="F25" s="12">
        <v>9.6999999999999993</v>
      </c>
    </row>
    <row r="26" spans="1:6" x14ac:dyDescent="0.25">
      <c r="A26">
        <v>25</v>
      </c>
      <c r="B26" t="s">
        <v>50</v>
      </c>
      <c r="C26" s="16">
        <v>24.206000000000003</v>
      </c>
      <c r="D26" s="12">
        <v>3</v>
      </c>
      <c r="E26" s="16">
        <v>7.2</v>
      </c>
      <c r="F26" s="12">
        <v>8.1</v>
      </c>
    </row>
    <row r="27" spans="1:6" x14ac:dyDescent="0.25">
      <c r="A27">
        <v>26</v>
      </c>
      <c r="B27" t="s">
        <v>192</v>
      </c>
      <c r="C27" s="16">
        <v>24.006</v>
      </c>
      <c r="D27" s="12">
        <v>3</v>
      </c>
      <c r="E27" s="16">
        <v>7.2</v>
      </c>
      <c r="F27" s="12">
        <v>8</v>
      </c>
    </row>
    <row r="28" spans="1:6" x14ac:dyDescent="0.25">
      <c r="A28">
        <v>27</v>
      </c>
      <c r="B28" t="s">
        <v>514</v>
      </c>
      <c r="C28" s="16">
        <v>9.6029999999999998</v>
      </c>
      <c r="D28" s="12">
        <v>1</v>
      </c>
      <c r="E28" s="16">
        <v>7.1</v>
      </c>
      <c r="F28" s="12">
        <v>9.6</v>
      </c>
    </row>
    <row r="29" spans="1:6" x14ac:dyDescent="0.25">
      <c r="A29">
        <v>28</v>
      </c>
      <c r="B29" t="s">
        <v>456</v>
      </c>
      <c r="C29" s="16">
        <v>23.512</v>
      </c>
      <c r="D29" s="12">
        <v>3</v>
      </c>
      <c r="E29" s="16">
        <v>7</v>
      </c>
      <c r="F29" s="12">
        <v>7.8</v>
      </c>
    </row>
    <row r="30" spans="1:6" x14ac:dyDescent="0.25">
      <c r="A30">
        <v>29</v>
      </c>
      <c r="B30" t="s">
        <v>669</v>
      </c>
      <c r="C30" s="16">
        <v>9.4009999999999998</v>
      </c>
      <c r="D30" s="12">
        <v>1</v>
      </c>
      <c r="E30" s="16">
        <v>6.9</v>
      </c>
      <c r="F30" s="12">
        <v>9.4</v>
      </c>
    </row>
    <row r="31" spans="1:6" x14ac:dyDescent="0.25">
      <c r="A31">
        <v>30</v>
      </c>
      <c r="B31" t="s">
        <v>959</v>
      </c>
      <c r="C31" s="16">
        <v>23.114999999999998</v>
      </c>
      <c r="D31" s="12">
        <v>3</v>
      </c>
      <c r="E31" s="16">
        <v>6.9</v>
      </c>
      <c r="F31" s="12">
        <v>7.7</v>
      </c>
    </row>
    <row r="32" spans="1:6" x14ac:dyDescent="0.25">
      <c r="A32">
        <v>31</v>
      </c>
      <c r="B32" t="s">
        <v>342</v>
      </c>
      <c r="C32" s="16">
        <v>16.007999999999999</v>
      </c>
      <c r="D32" s="12">
        <v>2</v>
      </c>
      <c r="E32" s="16">
        <v>6.8</v>
      </c>
      <c r="F32" s="12">
        <v>8</v>
      </c>
    </row>
    <row r="33" spans="1:6" x14ac:dyDescent="0.25">
      <c r="A33">
        <v>32</v>
      </c>
      <c r="B33" t="s">
        <v>1029</v>
      </c>
      <c r="C33" s="16">
        <v>16.106999999999999</v>
      </c>
      <c r="D33" s="12">
        <v>2</v>
      </c>
      <c r="E33" s="16">
        <v>6.8</v>
      </c>
      <c r="F33" s="12">
        <v>8.1</v>
      </c>
    </row>
    <row r="34" spans="1:6" x14ac:dyDescent="0.25">
      <c r="A34">
        <v>33</v>
      </c>
      <c r="B34" s="10" t="s">
        <v>409</v>
      </c>
      <c r="C34" s="16">
        <v>15.808</v>
      </c>
      <c r="D34" s="12">
        <v>2</v>
      </c>
      <c r="E34" s="16">
        <v>6.7</v>
      </c>
      <c r="F34" s="12">
        <v>7.9</v>
      </c>
    </row>
    <row r="35" spans="1:6" x14ac:dyDescent="0.25">
      <c r="A35">
        <v>34</v>
      </c>
      <c r="B35" t="s">
        <v>698</v>
      </c>
      <c r="C35" s="16">
        <v>9.202</v>
      </c>
      <c r="D35" s="12">
        <v>1</v>
      </c>
      <c r="E35" s="16">
        <v>6.7</v>
      </c>
      <c r="F35" s="12">
        <v>9.1999999999999993</v>
      </c>
    </row>
    <row r="36" spans="1:6" x14ac:dyDescent="0.25">
      <c r="A36">
        <v>35</v>
      </c>
      <c r="B36" t="s">
        <v>937</v>
      </c>
      <c r="C36" s="16">
        <v>15.91</v>
      </c>
      <c r="D36" s="12">
        <v>2</v>
      </c>
      <c r="E36" s="16">
        <v>6.7</v>
      </c>
      <c r="F36" s="12">
        <v>8</v>
      </c>
    </row>
    <row r="37" spans="1:6" x14ac:dyDescent="0.25">
      <c r="A37">
        <v>36</v>
      </c>
      <c r="B37" t="s">
        <v>1064</v>
      </c>
      <c r="C37" s="16">
        <v>15.809999999999999</v>
      </c>
      <c r="D37" s="12">
        <v>2</v>
      </c>
      <c r="E37" s="16">
        <v>6.7</v>
      </c>
      <c r="F37" s="12">
        <v>7.9</v>
      </c>
    </row>
    <row r="38" spans="1:6" x14ac:dyDescent="0.25">
      <c r="A38">
        <v>37</v>
      </c>
      <c r="B38" t="s">
        <v>159</v>
      </c>
      <c r="C38" s="16">
        <v>15.709</v>
      </c>
      <c r="D38" s="12">
        <v>2</v>
      </c>
      <c r="E38" s="16">
        <v>6.6</v>
      </c>
      <c r="F38" s="12">
        <v>7.9</v>
      </c>
    </row>
    <row r="39" spans="1:6" x14ac:dyDescent="0.25">
      <c r="A39">
        <v>38</v>
      </c>
      <c r="B39" t="s">
        <v>710</v>
      </c>
      <c r="C39" s="16">
        <v>22.407</v>
      </c>
      <c r="D39" s="12">
        <v>3</v>
      </c>
      <c r="E39" s="16">
        <v>6.6</v>
      </c>
      <c r="F39" s="12">
        <v>7.5</v>
      </c>
    </row>
    <row r="40" spans="1:6" x14ac:dyDescent="0.25">
      <c r="A40">
        <v>39</v>
      </c>
      <c r="B40" t="s">
        <v>462</v>
      </c>
      <c r="C40" s="16">
        <v>9.1029999999999998</v>
      </c>
      <c r="D40" s="12">
        <v>1</v>
      </c>
      <c r="E40" s="16">
        <v>6.6</v>
      </c>
      <c r="F40" s="12">
        <v>9.1</v>
      </c>
    </row>
    <row r="41" spans="1:6" x14ac:dyDescent="0.25">
      <c r="A41">
        <v>40</v>
      </c>
      <c r="B41" t="s">
        <v>745</v>
      </c>
      <c r="C41" s="16">
        <v>9.1020000000000003</v>
      </c>
      <c r="D41" s="12">
        <v>1</v>
      </c>
      <c r="E41" s="16">
        <v>6.6</v>
      </c>
      <c r="F41" s="12">
        <v>9.1</v>
      </c>
    </row>
    <row r="42" spans="1:6" x14ac:dyDescent="0.25">
      <c r="A42">
        <v>41</v>
      </c>
      <c r="B42" t="s">
        <v>394</v>
      </c>
      <c r="C42" s="16">
        <v>9.1010000000000009</v>
      </c>
      <c r="D42" s="12">
        <v>1</v>
      </c>
      <c r="E42" s="16">
        <v>6.6</v>
      </c>
      <c r="F42" s="12">
        <v>9.1</v>
      </c>
    </row>
    <row r="43" spans="1:6" x14ac:dyDescent="0.25">
      <c r="A43">
        <v>42</v>
      </c>
      <c r="B43" s="10" t="s">
        <v>246</v>
      </c>
      <c r="C43" s="16">
        <v>15.712999999999999</v>
      </c>
      <c r="D43" s="12">
        <v>2</v>
      </c>
      <c r="E43" s="16">
        <v>6.6</v>
      </c>
      <c r="F43" s="12">
        <v>7.9</v>
      </c>
    </row>
    <row r="44" spans="1:6" x14ac:dyDescent="0.25">
      <c r="A44">
        <v>43</v>
      </c>
      <c r="B44" t="s">
        <v>1074</v>
      </c>
      <c r="C44" s="16">
        <v>22.21</v>
      </c>
      <c r="D44" s="12">
        <v>3</v>
      </c>
      <c r="E44" s="16">
        <v>6.6</v>
      </c>
      <c r="F44" s="12">
        <v>7.4</v>
      </c>
    </row>
    <row r="45" spans="1:6" x14ac:dyDescent="0.25">
      <c r="A45">
        <v>44</v>
      </c>
      <c r="B45" t="s">
        <v>1059</v>
      </c>
      <c r="C45" s="16">
        <v>15.709</v>
      </c>
      <c r="D45" s="12">
        <v>2</v>
      </c>
      <c r="E45" s="16">
        <v>6.6</v>
      </c>
      <c r="F45" s="12">
        <v>7.9</v>
      </c>
    </row>
    <row r="46" spans="1:6" x14ac:dyDescent="0.25">
      <c r="A46">
        <v>45</v>
      </c>
      <c r="B46" t="s">
        <v>1140</v>
      </c>
      <c r="C46" s="16">
        <v>22.204000000000001</v>
      </c>
      <c r="D46" s="12">
        <v>3</v>
      </c>
      <c r="E46" s="16">
        <v>6.6</v>
      </c>
      <c r="F46" s="12">
        <v>7.4</v>
      </c>
    </row>
    <row r="47" spans="1:6" x14ac:dyDescent="0.25">
      <c r="A47">
        <v>46</v>
      </c>
      <c r="B47" t="s">
        <v>1033</v>
      </c>
      <c r="C47" s="16">
        <v>9.0020000000000007</v>
      </c>
      <c r="D47" s="12">
        <v>1</v>
      </c>
      <c r="E47" s="16">
        <v>6.5</v>
      </c>
      <c r="F47" s="12">
        <v>9</v>
      </c>
    </row>
    <row r="48" spans="1:6" x14ac:dyDescent="0.25">
      <c r="A48">
        <v>47</v>
      </c>
      <c r="B48" t="s">
        <v>1208</v>
      </c>
      <c r="C48" s="16">
        <v>8.9030000000000005</v>
      </c>
      <c r="D48" s="12">
        <v>1</v>
      </c>
      <c r="E48" s="16">
        <v>6.4</v>
      </c>
      <c r="F48" s="12">
        <v>8.9</v>
      </c>
    </row>
    <row r="49" spans="1:6" x14ac:dyDescent="0.25">
      <c r="A49">
        <v>48</v>
      </c>
      <c r="B49" t="s">
        <v>42</v>
      </c>
      <c r="C49" s="16">
        <v>21.606999999999999</v>
      </c>
      <c r="D49" s="12">
        <v>3</v>
      </c>
      <c r="E49" s="16">
        <v>6.4</v>
      </c>
      <c r="F49" s="12">
        <v>7.2</v>
      </c>
    </row>
    <row r="50" spans="1:6" x14ac:dyDescent="0.25">
      <c r="A50">
        <v>49</v>
      </c>
      <c r="B50" t="s">
        <v>997</v>
      </c>
      <c r="C50" s="16">
        <v>15.209</v>
      </c>
      <c r="D50" s="12">
        <v>2</v>
      </c>
      <c r="E50" s="16">
        <v>6.4</v>
      </c>
      <c r="F50" s="12">
        <v>7.6</v>
      </c>
    </row>
    <row r="51" spans="1:6" x14ac:dyDescent="0.25">
      <c r="A51">
        <v>50</v>
      </c>
      <c r="B51" t="s">
        <v>44</v>
      </c>
      <c r="C51" s="16">
        <v>21.306999999999999</v>
      </c>
      <c r="D51" s="12">
        <v>3</v>
      </c>
      <c r="E51" s="16">
        <v>6.3</v>
      </c>
      <c r="F51" s="12">
        <v>7.1</v>
      </c>
    </row>
    <row r="52" spans="1:6" x14ac:dyDescent="0.25">
      <c r="A52">
        <v>51</v>
      </c>
      <c r="B52" t="s">
        <v>1005</v>
      </c>
      <c r="C52" s="16">
        <v>15.112</v>
      </c>
      <c r="D52" s="12">
        <v>2</v>
      </c>
      <c r="E52" s="16">
        <v>6.3</v>
      </c>
      <c r="F52" s="12">
        <v>7.6</v>
      </c>
    </row>
    <row r="53" spans="1:6" x14ac:dyDescent="0.25">
      <c r="A53">
        <v>52</v>
      </c>
      <c r="B53" t="s">
        <v>583</v>
      </c>
      <c r="C53" s="16">
        <v>14.81</v>
      </c>
      <c r="D53" s="12">
        <v>2</v>
      </c>
      <c r="E53" s="16">
        <v>6.2</v>
      </c>
      <c r="F53" s="12">
        <v>7.4</v>
      </c>
    </row>
    <row r="54" spans="1:6" x14ac:dyDescent="0.25">
      <c r="A54">
        <v>53</v>
      </c>
      <c r="B54" t="s">
        <v>79</v>
      </c>
      <c r="C54" s="16">
        <v>8.702</v>
      </c>
      <c r="D54" s="12">
        <v>1</v>
      </c>
      <c r="E54" s="16">
        <v>6.2</v>
      </c>
      <c r="F54" s="12">
        <v>8.6999999999999993</v>
      </c>
    </row>
    <row r="55" spans="1:6" x14ac:dyDescent="0.25">
      <c r="A55">
        <v>54</v>
      </c>
      <c r="B55" t="s">
        <v>238</v>
      </c>
      <c r="C55" s="16">
        <v>8.6059999999999999</v>
      </c>
      <c r="D55" s="12">
        <v>1</v>
      </c>
      <c r="E55" s="16">
        <v>6.1</v>
      </c>
      <c r="F55" s="12">
        <v>8.6</v>
      </c>
    </row>
    <row r="56" spans="1:6" x14ac:dyDescent="0.25">
      <c r="A56">
        <v>55</v>
      </c>
      <c r="B56" t="s">
        <v>519</v>
      </c>
      <c r="C56" s="16">
        <v>8.6050000000000004</v>
      </c>
      <c r="D56" s="12">
        <v>1</v>
      </c>
      <c r="E56" s="16">
        <v>6.1</v>
      </c>
      <c r="F56" s="12">
        <v>8.6</v>
      </c>
    </row>
    <row r="57" spans="1:6" x14ac:dyDescent="0.25">
      <c r="A57">
        <v>56</v>
      </c>
      <c r="B57" t="s">
        <v>740</v>
      </c>
      <c r="C57" s="16">
        <v>14.707000000000001</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8.5050000000000008</v>
      </c>
      <c r="D59" s="12">
        <v>1</v>
      </c>
      <c r="E59" s="16">
        <v>6</v>
      </c>
      <c r="F59" s="12">
        <v>8.5</v>
      </c>
    </row>
    <row r="60" spans="1:6" x14ac:dyDescent="0.25">
      <c r="A60">
        <v>59</v>
      </c>
      <c r="B60" t="s">
        <v>656</v>
      </c>
      <c r="C60" s="16">
        <v>8.5020000000000007</v>
      </c>
      <c r="D60" s="12">
        <v>1</v>
      </c>
      <c r="E60" s="16">
        <v>6</v>
      </c>
      <c r="F60" s="12">
        <v>8.5</v>
      </c>
    </row>
    <row r="61" spans="1:6" x14ac:dyDescent="0.25">
      <c r="A61">
        <v>60</v>
      </c>
      <c r="B61" t="s">
        <v>706</v>
      </c>
      <c r="C61" s="16">
        <v>14.413</v>
      </c>
      <c r="D61" s="12">
        <v>2</v>
      </c>
      <c r="E61" s="16">
        <v>6</v>
      </c>
      <c r="F61" s="12">
        <v>7.2</v>
      </c>
    </row>
    <row r="62" spans="1:6" x14ac:dyDescent="0.25">
      <c r="A62">
        <v>61</v>
      </c>
      <c r="B62" t="s">
        <v>700</v>
      </c>
      <c r="C62" s="16">
        <v>14.404</v>
      </c>
      <c r="D62" s="12">
        <v>2</v>
      </c>
      <c r="E62" s="16">
        <v>6</v>
      </c>
      <c r="F62" s="12">
        <v>7.2</v>
      </c>
    </row>
    <row r="63" spans="1:6" x14ac:dyDescent="0.25">
      <c r="A63">
        <v>62</v>
      </c>
      <c r="B63" t="s">
        <v>1317</v>
      </c>
      <c r="C63" s="16">
        <v>8.4019999999999992</v>
      </c>
      <c r="D63" s="12">
        <v>1</v>
      </c>
      <c r="E63" s="16">
        <v>5.9</v>
      </c>
      <c r="F63" s="12">
        <v>8.4</v>
      </c>
    </row>
    <row r="64" spans="1:6" x14ac:dyDescent="0.25">
      <c r="A64">
        <v>63</v>
      </c>
      <c r="B64" t="s">
        <v>1166</v>
      </c>
      <c r="C64" s="16">
        <v>14.006</v>
      </c>
      <c r="D64" s="12">
        <v>2</v>
      </c>
      <c r="E64" s="16">
        <v>5.8</v>
      </c>
      <c r="F64" s="12">
        <v>7</v>
      </c>
    </row>
    <row r="65" spans="1:6" x14ac:dyDescent="0.25">
      <c r="A65">
        <v>64</v>
      </c>
      <c r="B65" t="s">
        <v>47</v>
      </c>
      <c r="C65" s="16">
        <v>20.110000000000003</v>
      </c>
      <c r="D65" s="12">
        <v>4</v>
      </c>
      <c r="E65" s="16">
        <v>5.7</v>
      </c>
      <c r="F65" s="12">
        <v>5</v>
      </c>
    </row>
    <row r="66" spans="1:6" x14ac:dyDescent="0.25">
      <c r="A66">
        <v>65</v>
      </c>
      <c r="B66" t="s">
        <v>1137</v>
      </c>
      <c r="C66" s="16">
        <v>8.2070000000000007</v>
      </c>
      <c r="D66" s="12">
        <v>1</v>
      </c>
      <c r="E66" s="16">
        <v>5.7</v>
      </c>
      <c r="F66" s="12">
        <v>8.1999999999999993</v>
      </c>
    </row>
    <row r="67" spans="1:6" x14ac:dyDescent="0.25">
      <c r="A67">
        <v>66</v>
      </c>
      <c r="B67" t="s">
        <v>92</v>
      </c>
      <c r="C67" s="16">
        <v>8.2059999999999995</v>
      </c>
      <c r="D67" s="12">
        <v>1</v>
      </c>
      <c r="E67" s="16">
        <v>5.7</v>
      </c>
      <c r="F67" s="12">
        <v>8.1999999999999993</v>
      </c>
    </row>
    <row r="68" spans="1:6" x14ac:dyDescent="0.25">
      <c r="A68">
        <v>67</v>
      </c>
      <c r="B68" t="s">
        <v>493</v>
      </c>
      <c r="C68" s="16">
        <v>8.202</v>
      </c>
      <c r="D68" s="12">
        <v>1</v>
      </c>
      <c r="E68" s="16">
        <v>5.7</v>
      </c>
      <c r="F68" s="12">
        <v>8.1999999999999993</v>
      </c>
    </row>
    <row r="69" spans="1:6" x14ac:dyDescent="0.25">
      <c r="A69">
        <v>68</v>
      </c>
      <c r="B69" t="s">
        <v>581</v>
      </c>
      <c r="C69" s="16">
        <v>8.2010000000000005</v>
      </c>
      <c r="D69" s="12">
        <v>1</v>
      </c>
      <c r="E69" s="16">
        <v>5.7</v>
      </c>
      <c r="F69" s="12">
        <v>8.1999999999999993</v>
      </c>
    </row>
    <row r="70" spans="1:6" x14ac:dyDescent="0.25">
      <c r="A70">
        <v>69</v>
      </c>
      <c r="B70" t="s">
        <v>349</v>
      </c>
      <c r="C70" s="16">
        <v>13.808999999999999</v>
      </c>
      <c r="D70" s="12">
        <v>2</v>
      </c>
      <c r="E70" s="16">
        <v>5.7</v>
      </c>
      <c r="F70" s="12">
        <v>6.9</v>
      </c>
    </row>
    <row r="71" spans="1:6" x14ac:dyDescent="0.25">
      <c r="A71">
        <v>70</v>
      </c>
      <c r="B71" t="s">
        <v>1100</v>
      </c>
      <c r="C71" s="16">
        <v>19.515999999999998</v>
      </c>
      <c r="D71" s="12">
        <v>3</v>
      </c>
      <c r="E71" s="16">
        <v>5.7</v>
      </c>
      <c r="F71" s="12">
        <v>6.5</v>
      </c>
    </row>
    <row r="72" spans="1:6" x14ac:dyDescent="0.25">
      <c r="A72">
        <v>71</v>
      </c>
      <c r="B72" t="s">
        <v>149</v>
      </c>
      <c r="C72" s="16">
        <v>8.1069999999999993</v>
      </c>
      <c r="D72" s="12">
        <v>1</v>
      </c>
      <c r="E72" s="16">
        <v>5.6</v>
      </c>
      <c r="F72" s="12">
        <v>8.1</v>
      </c>
    </row>
    <row r="73" spans="1:6" x14ac:dyDescent="0.25">
      <c r="A73">
        <v>72</v>
      </c>
      <c r="B73" t="s">
        <v>1068</v>
      </c>
      <c r="C73" s="16">
        <v>8.1050000000000004</v>
      </c>
      <c r="D73" s="12">
        <v>1</v>
      </c>
      <c r="E73" s="16">
        <v>5.6</v>
      </c>
      <c r="F73" s="12">
        <v>8.1</v>
      </c>
    </row>
    <row r="74" spans="1:6" x14ac:dyDescent="0.25">
      <c r="A74">
        <v>73</v>
      </c>
      <c r="B74" t="s">
        <v>962</v>
      </c>
      <c r="C74" s="16">
        <v>8.1039999999999992</v>
      </c>
      <c r="D74" s="12">
        <v>1</v>
      </c>
      <c r="E74" s="16">
        <v>5.6</v>
      </c>
      <c r="F74" s="12">
        <v>8.1</v>
      </c>
    </row>
    <row r="75" spans="1:6" x14ac:dyDescent="0.25">
      <c r="A75">
        <v>74</v>
      </c>
      <c r="B75" t="s">
        <v>702</v>
      </c>
      <c r="C75" s="16">
        <v>19.312999999999999</v>
      </c>
      <c r="D75" s="12">
        <v>3</v>
      </c>
      <c r="E75" s="16">
        <v>5.6</v>
      </c>
      <c r="F75" s="12">
        <v>6.4</v>
      </c>
    </row>
    <row r="76" spans="1:6" x14ac:dyDescent="0.25">
      <c r="A76">
        <v>75</v>
      </c>
      <c r="B76" t="s">
        <v>555</v>
      </c>
      <c r="C76" s="16">
        <v>8.0030000000000001</v>
      </c>
      <c r="D76" s="12">
        <v>1</v>
      </c>
      <c r="E76" s="16">
        <v>5.5</v>
      </c>
      <c r="F76" s="12">
        <v>8</v>
      </c>
    </row>
    <row r="77" spans="1:6" x14ac:dyDescent="0.25">
      <c r="A77">
        <v>76</v>
      </c>
      <c r="B77" t="s">
        <v>1148</v>
      </c>
      <c r="C77" s="16">
        <v>13.507999999999999</v>
      </c>
      <c r="D77" s="12">
        <v>2</v>
      </c>
      <c r="E77" s="16">
        <v>5.5</v>
      </c>
      <c r="F77" s="12">
        <v>6.8</v>
      </c>
    </row>
    <row r="78" spans="1:6" x14ac:dyDescent="0.25">
      <c r="A78">
        <v>77</v>
      </c>
      <c r="B78" t="s">
        <v>952</v>
      </c>
      <c r="C78" s="16">
        <v>13.503</v>
      </c>
      <c r="D78" s="12">
        <v>2</v>
      </c>
      <c r="E78" s="16">
        <v>5.5</v>
      </c>
      <c r="F78" s="12">
        <v>6.8</v>
      </c>
    </row>
    <row r="79" spans="1:6" x14ac:dyDescent="0.25">
      <c r="A79">
        <v>78</v>
      </c>
      <c r="B79" t="s">
        <v>719</v>
      </c>
      <c r="C79" s="16">
        <v>7.9039999999999999</v>
      </c>
      <c r="D79" s="12">
        <v>1</v>
      </c>
      <c r="E79" s="16">
        <v>5.4</v>
      </c>
      <c r="F79" s="12">
        <v>7.9</v>
      </c>
    </row>
    <row r="80" spans="1:6" x14ac:dyDescent="0.25">
      <c r="A80">
        <v>79</v>
      </c>
      <c r="B80" t="s">
        <v>183</v>
      </c>
      <c r="C80" s="16">
        <v>13.312999999999999</v>
      </c>
      <c r="D80" s="12">
        <v>2</v>
      </c>
      <c r="E80" s="16">
        <v>5.4</v>
      </c>
      <c r="F80" s="12">
        <v>6.7</v>
      </c>
    </row>
    <row r="81" spans="1:6" x14ac:dyDescent="0.25">
      <c r="A81">
        <v>80</v>
      </c>
      <c r="B81" t="s">
        <v>932</v>
      </c>
      <c r="C81" s="16">
        <v>7.8070000000000004</v>
      </c>
      <c r="D81" s="12">
        <v>1</v>
      </c>
      <c r="E81" s="16">
        <v>5.3</v>
      </c>
      <c r="F81" s="12">
        <v>7.8</v>
      </c>
    </row>
    <row r="82" spans="1:6" x14ac:dyDescent="0.25">
      <c r="A82">
        <v>81</v>
      </c>
      <c r="B82" t="s">
        <v>162</v>
      </c>
      <c r="C82" s="16">
        <v>7.806</v>
      </c>
      <c r="D82" s="12">
        <v>1</v>
      </c>
      <c r="E82" s="16">
        <v>5.3</v>
      </c>
      <c r="F82" s="12">
        <v>7.8</v>
      </c>
    </row>
    <row r="83" spans="1:6" x14ac:dyDescent="0.25">
      <c r="A83">
        <v>82</v>
      </c>
      <c r="B83" t="s">
        <v>661</v>
      </c>
      <c r="C83" s="16">
        <v>7.8029999999999999</v>
      </c>
      <c r="D83" s="12">
        <v>1</v>
      </c>
      <c r="E83" s="16">
        <v>5.3</v>
      </c>
      <c r="F83" s="12">
        <v>7.8</v>
      </c>
    </row>
    <row r="84" spans="1:6" x14ac:dyDescent="0.25">
      <c r="A84">
        <v>83</v>
      </c>
      <c r="B84" t="s">
        <v>377</v>
      </c>
      <c r="C84" s="16">
        <v>7.7050000000000001</v>
      </c>
      <c r="D84" s="12">
        <v>1</v>
      </c>
      <c r="E84" s="16">
        <v>5.2</v>
      </c>
      <c r="F84" s="12">
        <v>7.7</v>
      </c>
    </row>
    <row r="85" spans="1:6" x14ac:dyDescent="0.25">
      <c r="A85">
        <v>84</v>
      </c>
      <c r="B85" t="s">
        <v>441</v>
      </c>
      <c r="C85" s="16">
        <v>7.7039999999999997</v>
      </c>
      <c r="D85" s="12">
        <v>1</v>
      </c>
      <c r="E85" s="16">
        <v>5.2</v>
      </c>
      <c r="F85" s="12">
        <v>7.7</v>
      </c>
    </row>
    <row r="86" spans="1:6" x14ac:dyDescent="0.25">
      <c r="A86">
        <v>85</v>
      </c>
      <c r="B86" t="s">
        <v>1154</v>
      </c>
      <c r="C86" s="16">
        <v>12.701000000000001</v>
      </c>
      <c r="D86" s="12">
        <v>2</v>
      </c>
      <c r="E86" s="16">
        <v>5.0999999999999996</v>
      </c>
      <c r="F86" s="12">
        <v>6.4</v>
      </c>
    </row>
    <row r="87" spans="1:6" x14ac:dyDescent="0.25">
      <c r="A87">
        <v>86</v>
      </c>
      <c r="B87" t="s">
        <v>817</v>
      </c>
      <c r="C87" s="16">
        <v>7.6050000000000004</v>
      </c>
      <c r="D87" s="12">
        <v>1</v>
      </c>
      <c r="E87" s="16">
        <v>5.0999999999999996</v>
      </c>
      <c r="F87" s="12">
        <v>7.6</v>
      </c>
    </row>
    <row r="88" spans="1:6" x14ac:dyDescent="0.25">
      <c r="A88">
        <v>87</v>
      </c>
      <c r="B88" t="s">
        <v>1329</v>
      </c>
      <c r="C88" s="16">
        <v>7.6029999999999998</v>
      </c>
      <c r="D88" s="12">
        <v>1</v>
      </c>
      <c r="E88" s="16">
        <v>5.0999999999999996</v>
      </c>
      <c r="F88" s="12">
        <v>7.6</v>
      </c>
    </row>
    <row r="89" spans="1:6" x14ac:dyDescent="0.25">
      <c r="A89">
        <v>88</v>
      </c>
      <c r="B89" t="s">
        <v>1279</v>
      </c>
      <c r="C89" s="16">
        <v>7.601</v>
      </c>
      <c r="D89" s="12">
        <v>1</v>
      </c>
      <c r="E89" s="16">
        <v>5.0999999999999996</v>
      </c>
      <c r="F89" s="12">
        <v>7.6</v>
      </c>
    </row>
    <row r="90" spans="1:6" x14ac:dyDescent="0.25">
      <c r="A90">
        <v>89</v>
      </c>
      <c r="B90" t="s">
        <v>147</v>
      </c>
      <c r="C90" s="16">
        <v>7.4050000000000002</v>
      </c>
      <c r="D90" s="12">
        <v>1</v>
      </c>
      <c r="E90" s="16">
        <v>4.9000000000000004</v>
      </c>
      <c r="F90" s="12">
        <v>7.4</v>
      </c>
    </row>
    <row r="91" spans="1:6" x14ac:dyDescent="0.25">
      <c r="A91">
        <v>90</v>
      </c>
      <c r="B91" s="10" t="s">
        <v>1283</v>
      </c>
      <c r="C91" s="16">
        <v>7.4020000000000001</v>
      </c>
      <c r="D91" s="12">
        <v>1</v>
      </c>
      <c r="E91" s="16">
        <v>4.9000000000000004</v>
      </c>
      <c r="F91" s="12">
        <v>7.4</v>
      </c>
    </row>
    <row r="92" spans="1:6" x14ac:dyDescent="0.25">
      <c r="A92">
        <v>91</v>
      </c>
      <c r="B92" t="s">
        <v>71</v>
      </c>
      <c r="C92" s="16">
        <v>7.3070000000000004</v>
      </c>
      <c r="D92" s="12">
        <v>1</v>
      </c>
      <c r="E92" s="16">
        <v>4.8</v>
      </c>
      <c r="F92" s="12">
        <v>7.3</v>
      </c>
    </row>
    <row r="93" spans="1:6" x14ac:dyDescent="0.25">
      <c r="A93">
        <v>92</v>
      </c>
      <c r="B93" t="s">
        <v>1242</v>
      </c>
      <c r="C93" s="16">
        <v>7.306</v>
      </c>
      <c r="D93" s="12">
        <v>1</v>
      </c>
      <c r="E93" s="16">
        <v>4.8</v>
      </c>
      <c r="F93" s="12">
        <v>7.3</v>
      </c>
    </row>
    <row r="94" spans="1:6" x14ac:dyDescent="0.25">
      <c r="A94">
        <v>93</v>
      </c>
      <c r="B94" t="s">
        <v>1309</v>
      </c>
      <c r="C94" s="16">
        <v>7.3010000000000002</v>
      </c>
      <c r="D94" s="12">
        <v>1</v>
      </c>
      <c r="E94" s="16">
        <v>4.8</v>
      </c>
      <c r="F94" s="12">
        <v>7.3</v>
      </c>
    </row>
    <row r="95" spans="1:6" x14ac:dyDescent="0.25">
      <c r="A95">
        <v>94</v>
      </c>
      <c r="B95" s="10" t="s">
        <v>113</v>
      </c>
      <c r="C95" s="16">
        <v>12.106</v>
      </c>
      <c r="D95" s="12">
        <v>2</v>
      </c>
      <c r="E95" s="16">
        <v>4.8</v>
      </c>
      <c r="F95" s="12">
        <v>6.1</v>
      </c>
    </row>
    <row r="96" spans="1:6" x14ac:dyDescent="0.25">
      <c r="A96">
        <v>95</v>
      </c>
      <c r="B96" t="s">
        <v>106</v>
      </c>
      <c r="C96" s="16">
        <v>7.2050000000000001</v>
      </c>
      <c r="D96" s="12">
        <v>1</v>
      </c>
      <c r="E96" s="16">
        <v>4.7</v>
      </c>
      <c r="F96" s="12">
        <v>7.2</v>
      </c>
    </row>
    <row r="97" spans="1:6" x14ac:dyDescent="0.25">
      <c r="A97">
        <v>96</v>
      </c>
      <c r="B97" t="s">
        <v>180</v>
      </c>
      <c r="C97" s="16">
        <v>7.2039999999999997</v>
      </c>
      <c r="D97" s="12">
        <v>1</v>
      </c>
      <c r="E97" s="16">
        <v>4.7</v>
      </c>
      <c r="F97" s="12">
        <v>7.2</v>
      </c>
    </row>
    <row r="98" spans="1:6" x14ac:dyDescent="0.25">
      <c r="A98">
        <v>97</v>
      </c>
      <c r="B98" t="s">
        <v>90</v>
      </c>
      <c r="C98" s="16">
        <v>7.202</v>
      </c>
      <c r="D98" s="12">
        <v>1</v>
      </c>
      <c r="E98" s="16">
        <v>4.7</v>
      </c>
      <c r="F98" s="12">
        <v>7.2</v>
      </c>
    </row>
    <row r="99" spans="1:6" x14ac:dyDescent="0.25">
      <c r="A99">
        <v>98</v>
      </c>
      <c r="B99" t="s">
        <v>428</v>
      </c>
      <c r="C99" s="16">
        <v>7.2009999999999996</v>
      </c>
      <c r="D99" s="12">
        <v>1</v>
      </c>
      <c r="E99" s="16">
        <v>4.7</v>
      </c>
      <c r="F99" s="12">
        <v>7.2</v>
      </c>
    </row>
    <row r="100" spans="1:6" x14ac:dyDescent="0.25">
      <c r="A100">
        <v>99</v>
      </c>
      <c r="B100" t="s">
        <v>1043</v>
      </c>
      <c r="C100" s="16">
        <v>7.1050000000000004</v>
      </c>
      <c r="D100" s="12">
        <v>1</v>
      </c>
      <c r="E100" s="16">
        <v>4.5999999999999996</v>
      </c>
      <c r="F100" s="12">
        <v>7.1</v>
      </c>
    </row>
    <row r="101" spans="1:6" x14ac:dyDescent="0.25">
      <c r="A101">
        <v>100</v>
      </c>
      <c r="B101" s="10" t="s">
        <v>134</v>
      </c>
      <c r="C101" s="16">
        <v>7.1040000000000001</v>
      </c>
      <c r="D101" s="12">
        <v>1</v>
      </c>
      <c r="E101" s="16">
        <v>4.5999999999999996</v>
      </c>
      <c r="F101" s="12">
        <v>7.1</v>
      </c>
    </row>
    <row r="102" spans="1:6" x14ac:dyDescent="0.25">
      <c r="A102">
        <v>101</v>
      </c>
      <c r="B102" t="s">
        <v>173</v>
      </c>
      <c r="C102" s="16">
        <v>7.0060000000000002</v>
      </c>
      <c r="D102" s="12">
        <v>1</v>
      </c>
      <c r="E102" s="16">
        <v>4.5</v>
      </c>
      <c r="F102" s="12">
        <v>7</v>
      </c>
    </row>
    <row r="103" spans="1:6" x14ac:dyDescent="0.25">
      <c r="A103">
        <v>102</v>
      </c>
      <c r="B103" t="s">
        <v>1285</v>
      </c>
      <c r="C103" s="16">
        <v>7.0049999999999999</v>
      </c>
      <c r="D103" s="12">
        <v>1</v>
      </c>
      <c r="E103" s="16">
        <v>4.5</v>
      </c>
      <c r="F103" s="12">
        <v>7</v>
      </c>
    </row>
    <row r="104" spans="1:6" x14ac:dyDescent="0.25">
      <c r="A104">
        <v>103</v>
      </c>
      <c r="B104" t="s">
        <v>818</v>
      </c>
      <c r="C104" s="16">
        <v>7.0030000000000001</v>
      </c>
      <c r="D104" s="12">
        <v>1</v>
      </c>
      <c r="E104" s="16">
        <v>4.5</v>
      </c>
      <c r="F104" s="12">
        <v>7</v>
      </c>
    </row>
    <row r="105" spans="1:6" x14ac:dyDescent="0.25">
      <c r="A105">
        <v>104</v>
      </c>
      <c r="B105" t="s">
        <v>1117</v>
      </c>
      <c r="C105" s="16">
        <v>7.0010000000000003</v>
      </c>
      <c r="D105" s="12">
        <v>1</v>
      </c>
      <c r="E105" s="16">
        <v>4.5</v>
      </c>
      <c r="F105" s="12">
        <v>7</v>
      </c>
    </row>
    <row r="106" spans="1:6" x14ac:dyDescent="0.25">
      <c r="A106">
        <v>105</v>
      </c>
      <c r="B106" t="s">
        <v>837</v>
      </c>
      <c r="C106" s="16">
        <v>6.9039999999999999</v>
      </c>
      <c r="D106" s="12">
        <v>1</v>
      </c>
      <c r="E106" s="16">
        <v>4.4000000000000004</v>
      </c>
      <c r="F106" s="12">
        <v>6.9</v>
      </c>
    </row>
    <row r="107" spans="1:6" x14ac:dyDescent="0.25">
      <c r="A107">
        <v>106</v>
      </c>
      <c r="B107" t="s">
        <v>704</v>
      </c>
      <c r="C107" s="16">
        <v>6.9029999999999996</v>
      </c>
      <c r="D107" s="12">
        <v>1</v>
      </c>
      <c r="E107" s="16">
        <v>4.4000000000000004</v>
      </c>
      <c r="F107" s="12">
        <v>6.9</v>
      </c>
    </row>
    <row r="108" spans="1:6" x14ac:dyDescent="0.25">
      <c r="A108">
        <v>107</v>
      </c>
      <c r="B108" t="s">
        <v>1209</v>
      </c>
      <c r="C108" s="16">
        <v>15.803999999999998</v>
      </c>
      <c r="D108" s="12">
        <v>3</v>
      </c>
      <c r="E108" s="16">
        <v>4.4000000000000004</v>
      </c>
      <c r="F108" s="12">
        <v>5.3</v>
      </c>
    </row>
    <row r="109" spans="1:6" x14ac:dyDescent="0.25">
      <c r="A109">
        <v>108</v>
      </c>
      <c r="B109" t="s">
        <v>84</v>
      </c>
      <c r="C109" s="16">
        <v>6.806</v>
      </c>
      <c r="D109" s="12">
        <v>1</v>
      </c>
      <c r="E109" s="16">
        <v>4.3</v>
      </c>
      <c r="F109" s="12">
        <v>6.8</v>
      </c>
    </row>
    <row r="110" spans="1:6" x14ac:dyDescent="0.25">
      <c r="A110">
        <v>109</v>
      </c>
      <c r="B110" t="s">
        <v>986</v>
      </c>
      <c r="C110" s="16">
        <v>6.8010000000000002</v>
      </c>
      <c r="D110" s="12">
        <v>1</v>
      </c>
      <c r="E110" s="16">
        <v>4.3</v>
      </c>
      <c r="F110" s="12">
        <v>6.8</v>
      </c>
    </row>
    <row r="111" spans="1:6" x14ac:dyDescent="0.25">
      <c r="A111">
        <v>110</v>
      </c>
      <c r="B111" t="s">
        <v>166</v>
      </c>
      <c r="C111" s="16">
        <v>6.7069999999999999</v>
      </c>
      <c r="D111" s="12">
        <v>1</v>
      </c>
      <c r="E111" s="16">
        <v>4.2</v>
      </c>
      <c r="F111" s="12">
        <v>6.7</v>
      </c>
    </row>
    <row r="112" spans="1:6" x14ac:dyDescent="0.25">
      <c r="A112">
        <v>111</v>
      </c>
      <c r="B112" t="s">
        <v>733</v>
      </c>
      <c r="C112" s="16">
        <v>6.7050000000000001</v>
      </c>
      <c r="D112" s="12">
        <v>1</v>
      </c>
      <c r="E112" s="16">
        <v>4.2</v>
      </c>
      <c r="F112" s="12">
        <v>6.7</v>
      </c>
    </row>
    <row r="113" spans="1:6" x14ac:dyDescent="0.25">
      <c r="A113">
        <v>112</v>
      </c>
      <c r="B113" t="s">
        <v>169</v>
      </c>
      <c r="C113" s="16">
        <v>6.7030000000000003</v>
      </c>
      <c r="D113" s="12">
        <v>1</v>
      </c>
      <c r="E113" s="16">
        <v>4.2</v>
      </c>
      <c r="F113" s="12">
        <v>6.7</v>
      </c>
    </row>
    <row r="114" spans="1:6" x14ac:dyDescent="0.25">
      <c r="A114">
        <v>113</v>
      </c>
      <c r="B114" t="s">
        <v>88</v>
      </c>
      <c r="C114" s="16">
        <v>6.7009999999999996</v>
      </c>
      <c r="D114" s="12">
        <v>1</v>
      </c>
      <c r="E114" s="16">
        <v>4.2</v>
      </c>
      <c r="F114" s="12">
        <v>6.7</v>
      </c>
    </row>
    <row r="115" spans="1:6" x14ac:dyDescent="0.25">
      <c r="A115">
        <v>114</v>
      </c>
      <c r="B115" t="s">
        <v>845</v>
      </c>
      <c r="C115" s="16">
        <v>6.6050000000000004</v>
      </c>
      <c r="D115" s="12">
        <v>1</v>
      </c>
      <c r="E115" s="16">
        <v>4.0999999999999996</v>
      </c>
      <c r="F115" s="12">
        <v>6.6</v>
      </c>
    </row>
    <row r="116" spans="1:6" x14ac:dyDescent="0.25">
      <c r="A116">
        <v>115</v>
      </c>
      <c r="B116" t="s">
        <v>1306</v>
      </c>
      <c r="C116" s="16">
        <v>6.601</v>
      </c>
      <c r="D116" s="12">
        <v>1</v>
      </c>
      <c r="E116" s="16">
        <v>4.0999999999999996</v>
      </c>
      <c r="F116" s="12">
        <v>6.6</v>
      </c>
    </row>
    <row r="117" spans="1:6" x14ac:dyDescent="0.25">
      <c r="A117">
        <v>116</v>
      </c>
      <c r="B117" t="s">
        <v>365</v>
      </c>
      <c r="C117" s="16">
        <v>10.706</v>
      </c>
      <c r="D117" s="12">
        <v>2</v>
      </c>
      <c r="E117" s="16">
        <v>4.0999999999999996</v>
      </c>
      <c r="F117" s="12">
        <v>5.4</v>
      </c>
    </row>
    <row r="118" spans="1:6" x14ac:dyDescent="0.25">
      <c r="A118">
        <v>117</v>
      </c>
      <c r="B118" t="s">
        <v>488</v>
      </c>
      <c r="C118" s="16">
        <v>6.5019999999999998</v>
      </c>
      <c r="D118" s="12">
        <v>1</v>
      </c>
      <c r="E118" s="16">
        <v>4</v>
      </c>
      <c r="F118" s="12">
        <v>6.5</v>
      </c>
    </row>
    <row r="119" spans="1:6" x14ac:dyDescent="0.25">
      <c r="A119">
        <v>118</v>
      </c>
      <c r="B119" s="5" t="s">
        <v>763</v>
      </c>
      <c r="C119" s="16">
        <v>6.5010000000000003</v>
      </c>
      <c r="D119" s="12">
        <v>1</v>
      </c>
      <c r="E119" s="16">
        <v>4</v>
      </c>
      <c r="F119" s="12">
        <v>6.5</v>
      </c>
    </row>
    <row r="120" spans="1:6" x14ac:dyDescent="0.25">
      <c r="A120">
        <v>119</v>
      </c>
      <c r="B120" t="s">
        <v>99</v>
      </c>
      <c r="C120" s="16">
        <v>10.302</v>
      </c>
      <c r="D120" s="12">
        <v>2</v>
      </c>
      <c r="E120" s="16">
        <v>3.9</v>
      </c>
      <c r="F120" s="12">
        <v>5.2</v>
      </c>
    </row>
    <row r="121" spans="1:6" x14ac:dyDescent="0.25">
      <c r="A121">
        <v>120</v>
      </c>
      <c r="B121" t="s">
        <v>319</v>
      </c>
      <c r="C121" s="16">
        <v>6.4059999999999997</v>
      </c>
      <c r="D121" s="12">
        <v>1</v>
      </c>
      <c r="E121" s="16">
        <v>3.9</v>
      </c>
      <c r="F121" s="12">
        <v>6.4</v>
      </c>
    </row>
    <row r="122" spans="1:6" x14ac:dyDescent="0.25">
      <c r="A122">
        <v>121</v>
      </c>
      <c r="B122" t="s">
        <v>721</v>
      </c>
      <c r="C122" s="16">
        <v>6.4029999999999996</v>
      </c>
      <c r="D122" s="12">
        <v>1</v>
      </c>
      <c r="E122" s="16">
        <v>3.9</v>
      </c>
      <c r="F122" s="12">
        <v>6.4</v>
      </c>
    </row>
    <row r="123" spans="1:6" x14ac:dyDescent="0.25">
      <c r="A123">
        <v>122</v>
      </c>
      <c r="B123" t="s">
        <v>414</v>
      </c>
      <c r="C123" s="16">
        <v>6.3040000000000003</v>
      </c>
      <c r="D123" s="12">
        <v>1</v>
      </c>
      <c r="E123" s="16">
        <v>3.8</v>
      </c>
      <c r="F123" s="12">
        <v>6.3</v>
      </c>
    </row>
    <row r="124" spans="1:6" x14ac:dyDescent="0.25">
      <c r="A124">
        <v>123</v>
      </c>
      <c r="B124" t="s">
        <v>1085</v>
      </c>
      <c r="C124" s="16">
        <v>6.3029999999999999</v>
      </c>
      <c r="D124" s="12">
        <v>1</v>
      </c>
      <c r="E124" s="16">
        <v>3.8</v>
      </c>
      <c r="F124" s="12">
        <v>6.3</v>
      </c>
    </row>
    <row r="125" spans="1:6" x14ac:dyDescent="0.25">
      <c r="A125">
        <v>124</v>
      </c>
      <c r="B125" t="s">
        <v>187</v>
      </c>
      <c r="C125" s="16">
        <v>6.3010000000000002</v>
      </c>
      <c r="D125" s="12">
        <v>1</v>
      </c>
      <c r="E125" s="16">
        <v>3.8</v>
      </c>
      <c r="F125" s="12">
        <v>6.3</v>
      </c>
    </row>
    <row r="126" spans="1:6" x14ac:dyDescent="0.25">
      <c r="A126">
        <v>125</v>
      </c>
      <c r="B126" t="s">
        <v>1050</v>
      </c>
      <c r="C126" s="16">
        <v>6.2030000000000003</v>
      </c>
      <c r="D126" s="12">
        <v>1</v>
      </c>
      <c r="E126" s="16">
        <v>3.7</v>
      </c>
      <c r="F126" s="12">
        <v>6.2</v>
      </c>
    </row>
    <row r="127" spans="1:6" x14ac:dyDescent="0.25">
      <c r="A127">
        <v>126</v>
      </c>
      <c r="B127" t="s">
        <v>422</v>
      </c>
      <c r="C127" s="16">
        <v>6.202</v>
      </c>
      <c r="D127" s="12">
        <v>1</v>
      </c>
      <c r="E127" s="16">
        <v>3.7</v>
      </c>
      <c r="F127" s="12">
        <v>6.2</v>
      </c>
    </row>
    <row r="128" spans="1:6" x14ac:dyDescent="0.25">
      <c r="A128">
        <v>127</v>
      </c>
      <c r="B128" t="s">
        <v>979</v>
      </c>
      <c r="C128" s="16">
        <v>9.9050000000000011</v>
      </c>
      <c r="D128" s="12">
        <v>2</v>
      </c>
      <c r="E128" s="16">
        <v>3.7</v>
      </c>
      <c r="F128" s="12">
        <v>5</v>
      </c>
    </row>
    <row r="129" spans="1:6" x14ac:dyDescent="0.25">
      <c r="A129">
        <v>128</v>
      </c>
      <c r="B129" t="s">
        <v>889</v>
      </c>
      <c r="C129" s="16">
        <v>6.1040000000000001</v>
      </c>
      <c r="D129" s="12">
        <v>1</v>
      </c>
      <c r="E129" s="16">
        <v>3.6</v>
      </c>
      <c r="F129" s="12">
        <v>6.1</v>
      </c>
    </row>
    <row r="130" spans="1:6" x14ac:dyDescent="0.25">
      <c r="A130">
        <v>129</v>
      </c>
      <c r="B130" t="s">
        <v>1292</v>
      </c>
      <c r="C130" s="16">
        <v>6.0060000000000002</v>
      </c>
      <c r="D130" s="12">
        <v>1</v>
      </c>
      <c r="E130" s="16">
        <v>3.5</v>
      </c>
      <c r="F130" s="12">
        <v>6</v>
      </c>
    </row>
    <row r="131" spans="1:6" x14ac:dyDescent="0.25">
      <c r="A131">
        <v>130</v>
      </c>
      <c r="B131" s="5" t="s">
        <v>1229</v>
      </c>
      <c r="C131" s="16">
        <v>6.0049999999999999</v>
      </c>
      <c r="D131" s="12">
        <v>1</v>
      </c>
      <c r="E131" s="16">
        <v>3.5</v>
      </c>
      <c r="F131" s="12">
        <v>6</v>
      </c>
    </row>
    <row r="132" spans="1:6" x14ac:dyDescent="0.25">
      <c r="A132">
        <v>131</v>
      </c>
      <c r="B132" t="s">
        <v>621</v>
      </c>
      <c r="C132" s="16">
        <v>6.0039999999999996</v>
      </c>
      <c r="D132" s="12">
        <v>1</v>
      </c>
      <c r="E132" s="16">
        <v>3.5</v>
      </c>
      <c r="F132" s="12">
        <v>6</v>
      </c>
    </row>
    <row r="133" spans="1:6" x14ac:dyDescent="0.25">
      <c r="A133">
        <v>132</v>
      </c>
      <c r="B133" t="s">
        <v>110</v>
      </c>
      <c r="C133" s="16">
        <v>6.0030000000000001</v>
      </c>
      <c r="D133" s="12">
        <v>1</v>
      </c>
      <c r="E133" s="16">
        <v>3.5</v>
      </c>
      <c r="F133" s="12">
        <v>6</v>
      </c>
    </row>
    <row r="134" spans="1:6" x14ac:dyDescent="0.25">
      <c r="A134">
        <v>133</v>
      </c>
      <c r="B134" t="s">
        <v>1259</v>
      </c>
      <c r="C134" s="16">
        <v>6.0019999999999998</v>
      </c>
      <c r="D134" s="12">
        <v>1</v>
      </c>
      <c r="E134" s="16">
        <v>3.5</v>
      </c>
      <c r="F134" s="12">
        <v>6</v>
      </c>
    </row>
    <row r="135" spans="1:6" x14ac:dyDescent="0.25">
      <c r="A135">
        <v>134</v>
      </c>
      <c r="B135" t="s">
        <v>72</v>
      </c>
      <c r="C135" s="16">
        <v>6.0010000000000003</v>
      </c>
      <c r="D135" s="12">
        <v>1</v>
      </c>
      <c r="E135" s="16">
        <v>3.5</v>
      </c>
      <c r="F135" s="12">
        <v>6</v>
      </c>
    </row>
    <row r="136" spans="1:6" x14ac:dyDescent="0.25">
      <c r="A136">
        <v>135</v>
      </c>
      <c r="B136" t="s">
        <v>712</v>
      </c>
      <c r="C136" s="16">
        <v>9.5039999999999996</v>
      </c>
      <c r="D136" s="12">
        <v>2</v>
      </c>
      <c r="E136" s="16">
        <v>3.5</v>
      </c>
      <c r="F136" s="12">
        <v>4.8</v>
      </c>
    </row>
    <row r="137" spans="1:6" x14ac:dyDescent="0.25">
      <c r="A137">
        <v>136</v>
      </c>
      <c r="B137" t="s">
        <v>1261</v>
      </c>
      <c r="C137" s="16">
        <v>5.9059999999999997</v>
      </c>
      <c r="D137" s="12">
        <v>1</v>
      </c>
      <c r="E137" s="16">
        <v>3.4</v>
      </c>
      <c r="F137" s="12">
        <v>5.9</v>
      </c>
    </row>
    <row r="138" spans="1:6" x14ac:dyDescent="0.25">
      <c r="A138">
        <v>137</v>
      </c>
      <c r="B138" t="s">
        <v>1172</v>
      </c>
      <c r="C138" s="16">
        <v>5.9050000000000002</v>
      </c>
      <c r="D138" s="12">
        <v>1</v>
      </c>
      <c r="E138" s="16">
        <v>3.4</v>
      </c>
      <c r="F138" s="12">
        <v>5.9</v>
      </c>
    </row>
    <row r="139" spans="1:6" x14ac:dyDescent="0.25">
      <c r="A139">
        <v>138</v>
      </c>
      <c r="B139" t="s">
        <v>820</v>
      </c>
      <c r="C139" s="16">
        <v>5.9029999999999996</v>
      </c>
      <c r="D139" s="12">
        <v>1</v>
      </c>
      <c r="E139" s="16">
        <v>3.4</v>
      </c>
      <c r="F139" s="12">
        <v>5.9</v>
      </c>
    </row>
    <row r="140" spans="1:6" x14ac:dyDescent="0.25">
      <c r="A140">
        <v>139</v>
      </c>
      <c r="B140" t="s">
        <v>465</v>
      </c>
      <c r="C140" s="16">
        <v>5.806</v>
      </c>
      <c r="D140" s="12">
        <v>1</v>
      </c>
      <c r="E140" s="16">
        <v>3.3</v>
      </c>
      <c r="F140" s="12">
        <v>5.8</v>
      </c>
    </row>
    <row r="141" spans="1:6" x14ac:dyDescent="0.25">
      <c r="A141">
        <v>140</v>
      </c>
      <c r="B141" t="s">
        <v>1210</v>
      </c>
      <c r="C141" s="16">
        <v>5.8049999999999997</v>
      </c>
      <c r="D141" s="12">
        <v>1</v>
      </c>
      <c r="E141" s="16">
        <v>3.3</v>
      </c>
      <c r="F141" s="12">
        <v>5.8</v>
      </c>
    </row>
    <row r="142" spans="1:6" x14ac:dyDescent="0.25">
      <c r="A142">
        <v>141</v>
      </c>
      <c r="B142" t="s">
        <v>1135</v>
      </c>
      <c r="C142" s="16">
        <v>5.7039999999999997</v>
      </c>
      <c r="D142" s="12">
        <v>1</v>
      </c>
      <c r="E142" s="16">
        <v>3.2</v>
      </c>
      <c r="F142" s="12">
        <v>5.7</v>
      </c>
    </row>
    <row r="143" spans="1:6" x14ac:dyDescent="0.25">
      <c r="A143">
        <v>142</v>
      </c>
      <c r="B143" t="s">
        <v>382</v>
      </c>
      <c r="C143" s="16">
        <v>5.601</v>
      </c>
      <c r="D143" s="12">
        <v>1</v>
      </c>
      <c r="E143" s="16">
        <v>3.1</v>
      </c>
      <c r="F143" s="12">
        <v>5.6</v>
      </c>
    </row>
    <row r="144" spans="1:6" x14ac:dyDescent="0.25">
      <c r="A144">
        <v>143</v>
      </c>
      <c r="B144" t="s">
        <v>888</v>
      </c>
      <c r="C144" s="16">
        <v>5.5030000000000001</v>
      </c>
      <c r="D144" s="12">
        <v>1</v>
      </c>
      <c r="E144" s="16">
        <v>3</v>
      </c>
      <c r="F144" s="12">
        <v>5.5</v>
      </c>
    </row>
    <row r="145" spans="1:6" x14ac:dyDescent="0.25">
      <c r="A145">
        <v>144</v>
      </c>
      <c r="B145" t="s">
        <v>189</v>
      </c>
      <c r="C145" s="16">
        <v>5.4009999999999998</v>
      </c>
      <c r="D145" s="12">
        <v>1</v>
      </c>
      <c r="E145" s="16">
        <v>2.9</v>
      </c>
      <c r="F145" s="12">
        <v>5.4</v>
      </c>
    </row>
    <row r="146" spans="1:6" x14ac:dyDescent="0.25">
      <c r="A146">
        <v>145</v>
      </c>
      <c r="B146" t="s">
        <v>1211</v>
      </c>
      <c r="C146" s="16">
        <v>5.3019999999999996</v>
      </c>
      <c r="D146" s="12">
        <v>1</v>
      </c>
      <c r="E146" s="16">
        <v>2.8</v>
      </c>
      <c r="F146" s="12">
        <v>5.3</v>
      </c>
    </row>
    <row r="147" spans="1:6" x14ac:dyDescent="0.25">
      <c r="A147">
        <v>146</v>
      </c>
      <c r="B147" s="10" t="s">
        <v>707</v>
      </c>
      <c r="C147" s="16">
        <v>5.3010000000000002</v>
      </c>
      <c r="D147" s="12">
        <v>1</v>
      </c>
      <c r="E147" s="16">
        <v>2.8</v>
      </c>
      <c r="F147" s="12">
        <v>5.3</v>
      </c>
    </row>
    <row r="148" spans="1:6" x14ac:dyDescent="0.25">
      <c r="A148">
        <v>147</v>
      </c>
      <c r="B148" t="s">
        <v>501</v>
      </c>
      <c r="C148" s="16">
        <v>5.2030000000000003</v>
      </c>
      <c r="D148" s="12">
        <v>1</v>
      </c>
      <c r="E148" s="16">
        <v>2.7</v>
      </c>
      <c r="F148" s="12">
        <v>5.2</v>
      </c>
    </row>
    <row r="149" spans="1:6" x14ac:dyDescent="0.25">
      <c r="A149">
        <v>148</v>
      </c>
      <c r="B149" s="10" t="s">
        <v>1219</v>
      </c>
      <c r="C149" s="16">
        <v>5.202</v>
      </c>
      <c r="D149" s="12">
        <v>1</v>
      </c>
      <c r="E149" s="16">
        <v>2.7</v>
      </c>
      <c r="F149" s="12">
        <v>5.2</v>
      </c>
    </row>
    <row r="150" spans="1:6" x14ac:dyDescent="0.25">
      <c r="A150">
        <v>149</v>
      </c>
      <c r="B150" t="s">
        <v>214</v>
      </c>
      <c r="C150" s="16">
        <v>5.2009999999999996</v>
      </c>
      <c r="D150" s="12">
        <v>1</v>
      </c>
      <c r="E150" s="16">
        <v>2.7</v>
      </c>
      <c r="F150" s="12">
        <v>5.2</v>
      </c>
    </row>
    <row r="151" spans="1:6" x14ac:dyDescent="0.25">
      <c r="A151">
        <v>150</v>
      </c>
      <c r="B151" t="s">
        <v>813</v>
      </c>
      <c r="C151" s="16">
        <v>5.1029999999999998</v>
      </c>
      <c r="D151" s="12">
        <v>1</v>
      </c>
      <c r="E151" s="16">
        <v>2.6</v>
      </c>
      <c r="F151" s="12">
        <v>5.0999999999999996</v>
      </c>
    </row>
    <row r="152" spans="1:6" x14ac:dyDescent="0.25">
      <c r="A152">
        <v>151</v>
      </c>
      <c r="B152" t="s">
        <v>524</v>
      </c>
      <c r="C152" s="16">
        <v>5.1020000000000003</v>
      </c>
      <c r="D152" s="12">
        <v>1</v>
      </c>
      <c r="E152" s="16">
        <v>2.6</v>
      </c>
      <c r="F152" s="12">
        <v>5.0999999999999996</v>
      </c>
    </row>
    <row r="153" spans="1:6" x14ac:dyDescent="0.25">
      <c r="A153">
        <v>152</v>
      </c>
      <c r="B153" t="s">
        <v>96</v>
      </c>
      <c r="C153" s="16">
        <v>5.101</v>
      </c>
      <c r="D153" s="12">
        <v>1</v>
      </c>
      <c r="E153" s="16">
        <v>2.6</v>
      </c>
      <c r="F153" s="12">
        <v>5.0999999999999996</v>
      </c>
    </row>
    <row r="154" spans="1:6" x14ac:dyDescent="0.25">
      <c r="A154">
        <v>153</v>
      </c>
      <c r="B154" t="s">
        <v>197</v>
      </c>
      <c r="C154" s="16">
        <v>5.0019999999999998</v>
      </c>
      <c r="D154" s="12">
        <v>1</v>
      </c>
      <c r="E154" s="16">
        <v>2.5</v>
      </c>
      <c r="F154" s="12">
        <v>5</v>
      </c>
    </row>
    <row r="155" spans="1:6" x14ac:dyDescent="0.25">
      <c r="A155">
        <v>154</v>
      </c>
      <c r="B155" t="s">
        <v>194</v>
      </c>
      <c r="C155" s="16">
        <v>5.0010000000000003</v>
      </c>
      <c r="D155" s="12">
        <v>1</v>
      </c>
      <c r="E155" s="16">
        <v>2.5</v>
      </c>
      <c r="F155" s="12">
        <v>5</v>
      </c>
    </row>
    <row r="156" spans="1:6" x14ac:dyDescent="0.25">
      <c r="A156">
        <v>155</v>
      </c>
      <c r="B156" t="s">
        <v>1212</v>
      </c>
      <c r="C156" s="16">
        <v>4.9009999999999998</v>
      </c>
      <c r="D156" s="12">
        <v>1</v>
      </c>
      <c r="E156" s="16">
        <v>2.4</v>
      </c>
      <c r="F156" s="12">
        <v>4.9000000000000004</v>
      </c>
    </row>
    <row r="157" spans="1:6" x14ac:dyDescent="0.25">
      <c r="A157">
        <v>156</v>
      </c>
      <c r="B157" t="s">
        <v>1238</v>
      </c>
      <c r="C157" s="16">
        <v>4.8029999999999999</v>
      </c>
      <c r="D157" s="12">
        <v>1</v>
      </c>
      <c r="E157" s="16">
        <v>2.2999999999999998</v>
      </c>
      <c r="F157" s="12">
        <v>4.8</v>
      </c>
    </row>
    <row r="158" spans="1:6" x14ac:dyDescent="0.25">
      <c r="A158">
        <v>157</v>
      </c>
      <c r="B158" t="s">
        <v>599</v>
      </c>
      <c r="C158" s="16">
        <v>4.8010000000000002</v>
      </c>
      <c r="D158" s="12">
        <v>1</v>
      </c>
      <c r="E158" s="16">
        <v>2.2999999999999998</v>
      </c>
      <c r="F158" s="12">
        <v>4.8</v>
      </c>
    </row>
    <row r="159" spans="1:6" x14ac:dyDescent="0.25">
      <c r="A159">
        <v>158</v>
      </c>
      <c r="B159" t="s">
        <v>823</v>
      </c>
      <c r="C159" s="16">
        <v>4.7009999999999996</v>
      </c>
      <c r="D159" s="12">
        <v>1</v>
      </c>
      <c r="E159" s="16">
        <v>2.2000000000000002</v>
      </c>
      <c r="F159" s="12">
        <v>4.7</v>
      </c>
    </row>
    <row r="160" spans="1:6" x14ac:dyDescent="0.25">
      <c r="A160">
        <v>159</v>
      </c>
      <c r="B160" t="s">
        <v>130</v>
      </c>
      <c r="C160" s="16">
        <v>4.3</v>
      </c>
      <c r="D160" s="12">
        <v>1</v>
      </c>
      <c r="E160" s="16">
        <v>1.8</v>
      </c>
      <c r="F160" s="12">
        <v>4.3</v>
      </c>
    </row>
    <row r="161" spans="1:6" x14ac:dyDescent="0.25">
      <c r="A161">
        <v>160</v>
      </c>
      <c r="B161" t="s">
        <v>122</v>
      </c>
      <c r="C161" s="16">
        <v>4.0999999999999996</v>
      </c>
      <c r="D161" s="12">
        <v>1</v>
      </c>
      <c r="E161" s="16">
        <v>1.6</v>
      </c>
      <c r="F161" s="12">
        <v>4.0999999999999996</v>
      </c>
    </row>
    <row r="162" spans="1:6" x14ac:dyDescent="0.25">
      <c r="A162">
        <v>161</v>
      </c>
      <c r="B162" t="s">
        <v>431</v>
      </c>
      <c r="C162" s="16">
        <v>3.8</v>
      </c>
      <c r="D162" s="12">
        <v>1</v>
      </c>
      <c r="E162" s="16">
        <v>1.3</v>
      </c>
      <c r="F162" s="12">
        <v>3.8</v>
      </c>
    </row>
    <row r="163" spans="1:6" x14ac:dyDescent="0.25">
      <c r="A163">
        <v>162</v>
      </c>
      <c r="B163" t="s">
        <v>120</v>
      </c>
      <c r="C163" s="16">
        <v>3.7</v>
      </c>
      <c r="D163" s="12">
        <v>1</v>
      </c>
      <c r="E163" s="16">
        <v>1.2</v>
      </c>
      <c r="F163" s="12">
        <v>3.7</v>
      </c>
    </row>
    <row r="164" spans="1:6" x14ac:dyDescent="0.25">
      <c r="A164">
        <v>163</v>
      </c>
      <c r="B164" t="s">
        <v>421</v>
      </c>
      <c r="C164" s="16">
        <v>2.7</v>
      </c>
      <c r="D164" s="12">
        <v>1</v>
      </c>
      <c r="E164" s="16">
        <v>0.2</v>
      </c>
      <c r="F164" s="12">
        <v>2.7</v>
      </c>
    </row>
    <row r="165" spans="1:6" x14ac:dyDescent="0.25">
      <c r="A165">
        <v>164</v>
      </c>
      <c r="B165" t="s">
        <v>199</v>
      </c>
      <c r="C165" s="16">
        <v>2.2999999999999998</v>
      </c>
      <c r="D165" s="12">
        <v>1</v>
      </c>
      <c r="E165" s="16">
        <v>-0.2</v>
      </c>
      <c r="F165" s="12">
        <v>2.2999999999999998</v>
      </c>
    </row>
    <row r="166" spans="1:6" x14ac:dyDescent="0.25">
      <c r="A166">
        <v>165</v>
      </c>
      <c r="B166" t="s">
        <v>1213</v>
      </c>
      <c r="C166" s="16">
        <v>1.5</v>
      </c>
      <c r="D166" s="12">
        <v>1</v>
      </c>
      <c r="E166" s="16">
        <v>-1</v>
      </c>
      <c r="F166" s="12">
        <v>1.5</v>
      </c>
    </row>
    <row r="167" spans="1:6" x14ac:dyDescent="0.25">
      <c r="A167">
        <v>166</v>
      </c>
      <c r="B167" t="s">
        <v>138</v>
      </c>
      <c r="C167" s="16">
        <v>1.3</v>
      </c>
      <c r="D167" s="12">
        <v>1</v>
      </c>
      <c r="E167" s="13">
        <v>-1.2</v>
      </c>
      <c r="F167" s="12">
        <v>1.3</v>
      </c>
    </row>
    <row r="168" spans="1:6" x14ac:dyDescent="0.25">
      <c r="A168">
        <v>167</v>
      </c>
      <c r="B168" t="s">
        <v>135</v>
      </c>
      <c r="C168" s="16">
        <v>1.1000000000000001</v>
      </c>
      <c r="D168" s="12">
        <v>1</v>
      </c>
      <c r="E168" s="13">
        <v>-1.4</v>
      </c>
      <c r="F168" s="12">
        <v>1.1000000000000001</v>
      </c>
    </row>
    <row r="169" spans="1:6" x14ac:dyDescent="0.25">
      <c r="A169">
        <v>168</v>
      </c>
      <c r="B169" t="s">
        <v>141</v>
      </c>
      <c r="C169" s="16">
        <v>0.9</v>
      </c>
      <c r="D169" s="12">
        <v>1</v>
      </c>
      <c r="E169" s="13">
        <v>-1.6</v>
      </c>
      <c r="F169" s="12">
        <v>0.9</v>
      </c>
    </row>
  </sheetData>
  <autoFilter ref="A1:F120" xr:uid="{DC633FCA-CFD1-4A89-BF2E-AECAA389B980}"/>
  <sortState xmlns:xlrd2="http://schemas.microsoft.com/office/spreadsheetml/2017/richdata2" ref="A2:F169">
    <sortCondition descending="1" ref="E2:E169"/>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532</v>
      </c>
      <c r="C1" s="19" t="s">
        <v>1</v>
      </c>
      <c r="D1" s="19" t="s">
        <v>637</v>
      </c>
      <c r="E1" s="19" t="s">
        <v>549</v>
      </c>
      <c r="F1" s="19" t="s">
        <v>536</v>
      </c>
      <c r="G1" s="19" t="s">
        <v>5</v>
      </c>
      <c r="H1" s="19" t="s">
        <v>6</v>
      </c>
      <c r="I1" s="14" t="s">
        <v>14</v>
      </c>
      <c r="J1" s="14" t="s">
        <v>16</v>
      </c>
      <c r="K1" s="14" t="s">
        <v>533</v>
      </c>
      <c r="L1" s="14" t="s">
        <v>534</v>
      </c>
      <c r="M1" s="14" t="s">
        <v>542</v>
      </c>
      <c r="N1" s="14" t="s">
        <v>545</v>
      </c>
      <c r="O1" s="14" t="s">
        <v>33</v>
      </c>
      <c r="S1" s="19" t="s">
        <v>366</v>
      </c>
      <c r="T1" s="19" t="s">
        <v>383</v>
      </c>
      <c r="U1" s="14" t="s">
        <v>385</v>
      </c>
      <c r="V1" s="14" t="s">
        <v>384</v>
      </c>
    </row>
    <row r="2" spans="1:22" x14ac:dyDescent="0.25">
      <c r="A2" s="4">
        <v>1</v>
      </c>
      <c r="B2" s="4" t="s">
        <v>565</v>
      </c>
      <c r="C2" s="4">
        <v>9.5</v>
      </c>
      <c r="D2" s="4" t="s">
        <v>638</v>
      </c>
      <c r="E2" s="4" t="s">
        <v>566</v>
      </c>
      <c r="F2" s="4">
        <v>5</v>
      </c>
      <c r="G2" s="5" t="s">
        <v>567</v>
      </c>
      <c r="H2" s="5" t="s">
        <v>568</v>
      </c>
      <c r="I2" s="5" t="s">
        <v>569</v>
      </c>
      <c r="J2" s="10" t="s">
        <v>570</v>
      </c>
      <c r="K2" s="5" t="s">
        <v>572</v>
      </c>
      <c r="L2" s="10" t="s">
        <v>571</v>
      </c>
      <c r="M2" s="10" t="s">
        <v>573</v>
      </c>
      <c r="N2" s="10" t="s">
        <v>574</v>
      </c>
      <c r="O2" s="5" t="s">
        <v>621</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872</v>
      </c>
      <c r="C3" s="4">
        <v>9.5</v>
      </c>
      <c r="D3" s="4" t="s">
        <v>638</v>
      </c>
      <c r="E3" s="4" t="s">
        <v>873</v>
      </c>
      <c r="F3" s="4">
        <v>6</v>
      </c>
      <c r="G3" s="10" t="s">
        <v>827</v>
      </c>
      <c r="H3" s="10" t="s">
        <v>822</v>
      </c>
      <c r="I3" s="10" t="s">
        <v>816</v>
      </c>
      <c r="J3" s="10" t="s">
        <v>874</v>
      </c>
      <c r="K3" s="10" t="s">
        <v>875</v>
      </c>
      <c r="L3" s="10" t="s">
        <v>876</v>
      </c>
      <c r="M3" s="10" t="s">
        <v>877</v>
      </c>
      <c r="N3" s="10" t="s">
        <v>252</v>
      </c>
      <c r="O3" s="10" t="s">
        <v>821</v>
      </c>
      <c r="P3" s="10" t="s">
        <v>215</v>
      </c>
      <c r="Q3" s="10" t="s">
        <v>209</v>
      </c>
      <c r="R3" s="10" t="s">
        <v>672</v>
      </c>
      <c r="S3" s="4">
        <v>9.1999999999999993</v>
      </c>
      <c r="T3" s="4">
        <v>92</v>
      </c>
      <c r="U3" s="20">
        <f t="shared" si="0"/>
        <v>9.1999999999999993</v>
      </c>
      <c r="V3" s="20">
        <f t="shared" si="1"/>
        <v>9.2999999999999989</v>
      </c>
    </row>
    <row r="4" spans="1:22" x14ac:dyDescent="0.25">
      <c r="A4" s="4">
        <f t="shared" si="2"/>
        <v>3</v>
      </c>
      <c r="B4" s="4" t="s">
        <v>747</v>
      </c>
      <c r="C4" s="4">
        <v>9.1</v>
      </c>
      <c r="D4" s="4" t="s">
        <v>638</v>
      </c>
      <c r="E4" s="4" t="s">
        <v>865</v>
      </c>
      <c r="F4" s="4">
        <v>5</v>
      </c>
      <c r="G4" s="10" t="s">
        <v>746</v>
      </c>
      <c r="H4" s="10" t="s">
        <v>866</v>
      </c>
      <c r="I4" s="10" t="s">
        <v>819</v>
      </c>
      <c r="J4" s="10" t="s">
        <v>867</v>
      </c>
      <c r="K4" s="10" t="s">
        <v>868</v>
      </c>
      <c r="L4" s="10" t="s">
        <v>869</v>
      </c>
      <c r="M4" s="10" t="s">
        <v>870</v>
      </c>
      <c r="N4" s="10" t="s">
        <v>871</v>
      </c>
      <c r="O4" s="10" t="s">
        <v>546</v>
      </c>
      <c r="P4" s="10" t="s">
        <v>215</v>
      </c>
      <c r="Q4" s="10" t="s">
        <v>209</v>
      </c>
      <c r="R4" s="5" t="s">
        <v>217</v>
      </c>
      <c r="S4" s="4">
        <v>9.3000000000000007</v>
      </c>
      <c r="T4" s="4">
        <v>95</v>
      </c>
      <c r="U4" s="20">
        <f t="shared" si="0"/>
        <v>9.4</v>
      </c>
      <c r="V4" s="20">
        <f t="shared" si="1"/>
        <v>9.2999999999999989</v>
      </c>
    </row>
    <row r="5" spans="1:22" x14ac:dyDescent="0.25">
      <c r="A5" s="4">
        <f t="shared" si="2"/>
        <v>4</v>
      </c>
      <c r="B5" s="4" t="s">
        <v>531</v>
      </c>
      <c r="C5" s="4">
        <v>8.9</v>
      </c>
      <c r="D5" s="4" t="s">
        <v>638</v>
      </c>
      <c r="E5" s="4" t="s">
        <v>535</v>
      </c>
      <c r="F5" s="4">
        <v>9</v>
      </c>
      <c r="G5" s="5" t="s">
        <v>537</v>
      </c>
      <c r="H5" s="10" t="s">
        <v>104</v>
      </c>
      <c r="I5" s="10" t="s">
        <v>539</v>
      </c>
      <c r="J5" s="10" t="s">
        <v>538</v>
      </c>
      <c r="K5" s="10" t="s">
        <v>540</v>
      </c>
      <c r="L5" s="10" t="s">
        <v>541</v>
      </c>
      <c r="M5" s="10" t="s">
        <v>543</v>
      </c>
      <c r="N5" s="10" t="s">
        <v>544</v>
      </c>
      <c r="O5" s="10" t="s">
        <v>546</v>
      </c>
      <c r="P5" s="10" t="s">
        <v>547</v>
      </c>
      <c r="Q5" s="10" t="s">
        <v>548</v>
      </c>
      <c r="R5" s="10" t="s">
        <v>219</v>
      </c>
      <c r="S5" s="4">
        <v>9</v>
      </c>
      <c r="T5" s="4">
        <v>81</v>
      </c>
      <c r="U5" s="20">
        <f t="shared" si="0"/>
        <v>8.5500000000000007</v>
      </c>
      <c r="V5" s="20">
        <f t="shared" si="1"/>
        <v>8.6666666666666661</v>
      </c>
    </row>
    <row r="6" spans="1:22" x14ac:dyDescent="0.25">
      <c r="A6" s="4">
        <f t="shared" si="2"/>
        <v>5</v>
      </c>
      <c r="B6" s="4" t="s">
        <v>636</v>
      </c>
      <c r="C6" s="4">
        <v>8.8000000000000007</v>
      </c>
      <c r="D6" s="4" t="s">
        <v>639</v>
      </c>
      <c r="E6" s="4">
        <v>2019</v>
      </c>
      <c r="F6" s="4">
        <v>1</v>
      </c>
      <c r="G6" s="5" t="s">
        <v>641</v>
      </c>
      <c r="H6" s="5" t="s">
        <v>251</v>
      </c>
      <c r="I6" s="5" t="s">
        <v>642</v>
      </c>
      <c r="J6" s="5" t="s">
        <v>643</v>
      </c>
      <c r="K6" s="5" t="s">
        <v>644</v>
      </c>
      <c r="L6" s="5" t="s">
        <v>645</v>
      </c>
      <c r="M6" s="5" t="s">
        <v>646</v>
      </c>
      <c r="N6" s="5" t="s">
        <v>647</v>
      </c>
      <c r="O6" s="5" t="s">
        <v>640</v>
      </c>
      <c r="P6" s="5" t="s">
        <v>209</v>
      </c>
      <c r="Q6" s="5" t="s">
        <v>227</v>
      </c>
      <c r="R6" s="10" t="s">
        <v>217</v>
      </c>
      <c r="S6" s="4">
        <v>9.3000000000000007</v>
      </c>
      <c r="T6" s="4">
        <v>95</v>
      </c>
      <c r="U6" s="20">
        <f t="shared" si="0"/>
        <v>9.4</v>
      </c>
      <c r="V6" s="20">
        <f t="shared" si="1"/>
        <v>9.2000000000000011</v>
      </c>
    </row>
    <row r="7" spans="1:22" x14ac:dyDescent="0.25">
      <c r="A7" s="4">
        <f t="shared" si="2"/>
        <v>6</v>
      </c>
      <c r="B7" s="4" t="s">
        <v>587</v>
      </c>
      <c r="C7" s="4">
        <v>8.6999999999999993</v>
      </c>
      <c r="D7" s="4" t="s">
        <v>639</v>
      </c>
      <c r="E7" s="4">
        <v>2001</v>
      </c>
      <c r="F7" s="4">
        <v>1</v>
      </c>
      <c r="G7" s="5" t="s">
        <v>588</v>
      </c>
      <c r="H7" s="5" t="s">
        <v>589</v>
      </c>
      <c r="I7" s="10" t="s">
        <v>213</v>
      </c>
      <c r="J7" s="5" t="s">
        <v>590</v>
      </c>
      <c r="K7" s="5" t="s">
        <v>591</v>
      </c>
      <c r="L7" s="5" t="s">
        <v>592</v>
      </c>
      <c r="M7" s="5" t="s">
        <v>593</v>
      </c>
      <c r="N7" s="10" t="s">
        <v>594</v>
      </c>
      <c r="O7" s="5" t="s">
        <v>546</v>
      </c>
      <c r="P7" s="5" t="s">
        <v>226</v>
      </c>
      <c r="Q7" s="5" t="s">
        <v>209</v>
      </c>
      <c r="R7" s="5" t="s">
        <v>227</v>
      </c>
      <c r="S7" s="4">
        <v>9.4</v>
      </c>
      <c r="T7" s="4">
        <v>94</v>
      </c>
      <c r="U7" s="20">
        <f t="shared" si="0"/>
        <v>9.4</v>
      </c>
      <c r="V7" s="20">
        <f t="shared" si="1"/>
        <v>9.1666666666666661</v>
      </c>
    </row>
    <row r="8" spans="1:22" x14ac:dyDescent="0.25">
      <c r="A8" s="4">
        <f t="shared" si="2"/>
        <v>7</v>
      </c>
      <c r="B8" s="4" t="s">
        <v>619</v>
      </c>
      <c r="C8" s="4">
        <v>8.5</v>
      </c>
      <c r="D8" s="4" t="s">
        <v>638</v>
      </c>
      <c r="E8" s="4" t="s">
        <v>620</v>
      </c>
      <c r="F8" s="4">
        <v>6</v>
      </c>
      <c r="G8" s="5" t="s">
        <v>572</v>
      </c>
      <c r="H8" s="5" t="s">
        <v>574</v>
      </c>
      <c r="I8" s="5" t="s">
        <v>622</v>
      </c>
      <c r="J8" s="5" t="s">
        <v>623</v>
      </c>
      <c r="K8" s="5" t="s">
        <v>624</v>
      </c>
      <c r="L8" s="5" t="s">
        <v>573</v>
      </c>
      <c r="M8" s="5" t="s">
        <v>625</v>
      </c>
      <c r="N8" s="5" t="s">
        <v>626</v>
      </c>
      <c r="O8" s="5" t="s">
        <v>621</v>
      </c>
      <c r="P8" s="5" t="s">
        <v>215</v>
      </c>
      <c r="Q8" s="5" t="s">
        <v>209</v>
      </c>
      <c r="R8" s="5"/>
      <c r="S8" s="4">
        <v>9</v>
      </c>
      <c r="T8" s="4">
        <v>98</v>
      </c>
      <c r="U8" s="20">
        <f t="shared" si="0"/>
        <v>9.4</v>
      </c>
      <c r="V8" s="20">
        <f t="shared" si="1"/>
        <v>9.1</v>
      </c>
    </row>
    <row r="9" spans="1:22" x14ac:dyDescent="0.25">
      <c r="A9" s="4">
        <f t="shared" si="2"/>
        <v>8</v>
      </c>
      <c r="B9" s="4" t="s">
        <v>681</v>
      </c>
      <c r="C9" s="4">
        <v>8.4</v>
      </c>
      <c r="D9" s="4" t="s">
        <v>638</v>
      </c>
      <c r="E9" s="4" t="s">
        <v>683</v>
      </c>
      <c r="F9" s="4">
        <v>7</v>
      </c>
      <c r="G9" s="5" t="s">
        <v>682</v>
      </c>
      <c r="H9" s="5" t="s">
        <v>684</v>
      </c>
      <c r="I9" s="5" t="s">
        <v>685</v>
      </c>
      <c r="J9" s="5" t="s">
        <v>686</v>
      </c>
      <c r="K9" s="5" t="s">
        <v>687</v>
      </c>
      <c r="L9" s="5" t="s">
        <v>688</v>
      </c>
      <c r="M9" s="5" t="s">
        <v>689</v>
      </c>
      <c r="N9" s="5" t="s">
        <v>690</v>
      </c>
      <c r="O9" s="5" t="s">
        <v>691</v>
      </c>
      <c r="P9" s="5" t="s">
        <v>209</v>
      </c>
      <c r="Q9" s="5" t="s">
        <v>670</v>
      </c>
      <c r="R9" s="5"/>
      <c r="S9" s="4">
        <v>8.6999999999999993</v>
      </c>
      <c r="T9" s="4">
        <v>94</v>
      </c>
      <c r="U9" s="20">
        <f t="shared" si="0"/>
        <v>9.0500000000000007</v>
      </c>
      <c r="V9" s="20">
        <f t="shared" si="1"/>
        <v>8.8333333333333339</v>
      </c>
    </row>
    <row r="10" spans="1:22" x14ac:dyDescent="0.25">
      <c r="A10" s="4">
        <f t="shared" si="2"/>
        <v>9</v>
      </c>
      <c r="B10" s="4" t="s">
        <v>627</v>
      </c>
      <c r="C10" s="4">
        <v>8.1999999999999993</v>
      </c>
      <c r="D10" s="4" t="s">
        <v>638</v>
      </c>
      <c r="E10" s="4" t="s">
        <v>628</v>
      </c>
      <c r="F10" s="4">
        <v>4</v>
      </c>
      <c r="G10" s="5" t="s">
        <v>177</v>
      </c>
      <c r="H10" s="5" t="s">
        <v>282</v>
      </c>
      <c r="I10" s="5" t="s">
        <v>629</v>
      </c>
      <c r="J10" s="5" t="s">
        <v>630</v>
      </c>
      <c r="K10" s="5" t="s">
        <v>631</v>
      </c>
      <c r="L10" s="5" t="s">
        <v>632</v>
      </c>
      <c r="M10" s="5" t="s">
        <v>633</v>
      </c>
      <c r="N10" s="5" t="s">
        <v>634</v>
      </c>
      <c r="O10" s="5" t="s">
        <v>635</v>
      </c>
      <c r="P10" s="5" t="s">
        <v>215</v>
      </c>
      <c r="Q10" s="5" t="s">
        <v>209</v>
      </c>
      <c r="R10" s="5" t="s">
        <v>217</v>
      </c>
      <c r="S10" s="4">
        <v>8.5</v>
      </c>
      <c r="T10" s="4">
        <v>82</v>
      </c>
      <c r="U10" s="20">
        <f t="shared" si="0"/>
        <v>8.35</v>
      </c>
      <c r="V10" s="20">
        <f t="shared" si="1"/>
        <v>8.2999999999999989</v>
      </c>
    </row>
    <row r="11" spans="1:22" x14ac:dyDescent="0.25">
      <c r="A11" s="4">
        <f t="shared" si="2"/>
        <v>10</v>
      </c>
      <c r="B11" s="4" t="s">
        <v>609</v>
      </c>
      <c r="C11" s="4">
        <v>7.8</v>
      </c>
      <c r="D11" s="4" t="s">
        <v>638</v>
      </c>
      <c r="E11" s="4" t="s">
        <v>610</v>
      </c>
      <c r="F11" s="4">
        <v>2</v>
      </c>
      <c r="G11" s="10" t="s">
        <v>567</v>
      </c>
      <c r="H11" s="10" t="s">
        <v>611</v>
      </c>
      <c r="I11" s="10" t="s">
        <v>612</v>
      </c>
      <c r="J11" s="10" t="s">
        <v>613</v>
      </c>
      <c r="K11" s="10" t="s">
        <v>614</v>
      </c>
      <c r="L11" s="10" t="s">
        <v>615</v>
      </c>
      <c r="M11" s="10" t="s">
        <v>616</v>
      </c>
      <c r="N11" s="10" t="s">
        <v>617</v>
      </c>
      <c r="O11" s="10" t="s">
        <v>618</v>
      </c>
      <c r="P11" t="s">
        <v>215</v>
      </c>
      <c r="Q11" t="s">
        <v>209</v>
      </c>
      <c r="R11" s="10" t="s">
        <v>217</v>
      </c>
      <c r="S11" s="4">
        <v>7.6</v>
      </c>
      <c r="T11" s="4">
        <v>50</v>
      </c>
      <c r="U11" s="20">
        <f t="shared" si="0"/>
        <v>6.3</v>
      </c>
      <c r="V11" s="20">
        <f t="shared" si="1"/>
        <v>6.8</v>
      </c>
    </row>
    <row r="12" spans="1:22" x14ac:dyDescent="0.25">
      <c r="A12" s="4">
        <f t="shared" si="2"/>
        <v>11</v>
      </c>
      <c r="B12" s="4" t="s">
        <v>743</v>
      </c>
      <c r="C12" s="4">
        <v>7.4</v>
      </c>
      <c r="D12" s="4" t="s">
        <v>638</v>
      </c>
      <c r="E12" s="4" t="s">
        <v>878</v>
      </c>
      <c r="F12" s="4">
        <v>2</v>
      </c>
      <c r="G12" s="5" t="s">
        <v>879</v>
      </c>
      <c r="H12" s="5" t="s">
        <v>880</v>
      </c>
      <c r="I12" s="5" t="s">
        <v>881</v>
      </c>
      <c r="J12" s="5" t="s">
        <v>882</v>
      </c>
      <c r="K12" s="5" t="s">
        <v>883</v>
      </c>
      <c r="L12" s="5" t="s">
        <v>884</v>
      </c>
      <c r="M12" s="5" t="s">
        <v>885</v>
      </c>
      <c r="N12" s="5" t="s">
        <v>886</v>
      </c>
      <c r="O12" s="5" t="s">
        <v>742</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357</v>
      </c>
    </row>
    <row r="4" spans="1:1" x14ac:dyDescent="0.25">
      <c r="A4" t="s">
        <v>389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2026-08-15T02:39:12Z</dcterms:modified>
</cp:coreProperties>
</file>